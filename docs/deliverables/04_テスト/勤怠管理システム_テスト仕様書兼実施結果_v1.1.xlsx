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ab06774b20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紙・サマリー" sheetId="1" r:id="R2387bb021597430a"/>
    <x:sheet xmlns:r="http://schemas.openxmlformats.org/officeDocument/2006/relationships" name="テストケース" sheetId="2" r:id="Rdaca8c6fb11842e6"/>
    <x:sheet xmlns:r="http://schemas.openxmlformats.org/officeDocument/2006/relationships" name="Excel照合" sheetId="3" r:id="R27f98adaa6f04e12"/>
    <x:sheet xmlns:r="http://schemas.openxmlformats.org/officeDocument/2006/relationships" name="テスト環境・データ" sheetId="4" r:id="R0f5bdba3c09f453c"/>
    <x:sheet xmlns:r="http://schemas.openxmlformats.org/officeDocument/2006/relationships" name="不具合記録" sheetId="5" r:id="R5ddcc78ca25949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10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11111"/>
      <x:name val="Carlito"/>
    </x:font>
    <x:font>
      <x:b/>
      <x:sz val="11"/>
      <x:name val="Carlito"/>
    </x:font>
    <x:font>
      <x:b/>
      <x:sz val="20"/>
      <x:color rgb="FFFFFFFF"/>
      <x:name val="Yu Gothic"/>
    </x:font>
    <x:font>
      <x:sz val="11"/>
      <x:name val="Yu Gothic"/>
    </x:font>
    <x:font>
      <x:b/>
      <x:sz val="11"/>
      <x:color rgb="FFFFFFFF"/>
      <x:name val="Yu Gothic"/>
    </x:font>
    <x:font>
      <x:b/>
      <x:sz val="11"/>
      <x:color rgb="FF111111"/>
      <x:name val="Yu Gothic"/>
    </x:font>
    <x:font>
      <x:b/>
      <x:sz val="11"/>
      <x:name val="Yu Gothic"/>
    </x:font>
  </x:fonts>
  <x:fills count="8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242424"/>
      </x:patternFill>
    </x:fill>
    <x:fill>
      <x:patternFill patternType="solid">
        <x:fgColor rgb="FFF5F5F5"/>
      </x:patternFill>
    </x:fill>
    <x:fill>
      <x:patternFill patternType="solid">
        <x:fgColor rgb="FFFFF6BF"/>
      </x:patternFill>
    </x:fill>
    <x:fill>
      <x:patternFill patternType="solid">
        <x:fgColor rgb="FFFFD400"/>
      </x:patternFill>
    </x:fill>
    <x:fill>
      <x:patternFill patternType="solid">
        <x:fgColor rgb="FFFFFDF0"/>
      </x:patternFill>
    </x:fill>
  </x:fills>
  <x:borders count="26">
    <x:border/>
    <x:border>
      <x:left style="medium">
        <x:color rgb="FFFFD400"/>
      </x:left>
      <x:top style="medium">
        <x:color rgb="FFFFD400"/>
      </x:top>
    </x:border>
    <x:border>
      <x:top style="medium">
        <x:color rgb="FFFFD400"/>
      </x:top>
    </x:border>
    <x:border>
      <x:right style="medium">
        <x:color rgb="FFFFD400"/>
      </x:right>
      <x:top style="medium">
        <x:color rgb="FFFFD400"/>
      </x:top>
    </x:border>
    <x:border>
      <x:left style="medium">
        <x:color rgb="FFFFD400"/>
      </x:left>
      <x:bottom style="medium">
        <x:color rgb="FFFFD400"/>
      </x:bottom>
    </x:border>
    <x:border>
      <x:bottom style="medium">
        <x:color rgb="FFFFD400"/>
      </x:bottom>
    </x:border>
    <x:border>
      <x:right style="medium">
        <x:color rgb="FFFFD400"/>
      </x:right>
      <x:bottom style="medium">
        <x:color rgb="FFFFD400"/>
      </x:bottom>
    </x:border>
    <x:border>
      <x:left style="thin">
        <x:color rgb="FFC8C8C8"/>
      </x:left>
      <x:right style="thin">
        <x:color rgb="FFC8C8C8"/>
      </x:right>
      <x:top style="thin">
        <x:color rgb="FFC8C8C8"/>
      </x:top>
      <x:bottom style="thin">
        <x:color rgb="FFC8C8C8"/>
      </x:bottom>
    </x:border>
    <x:border>
      <x:left style="medium">
        <x:color rgb="FF111111"/>
      </x:left>
      <x:top style="medium">
        <x:color rgb="FF111111"/>
      </x:top>
      <x:bottom style="medium">
        <x:color rgb="FF111111"/>
      </x:bottom>
    </x:border>
    <x:border>
      <x:top style="medium">
        <x:color rgb="FF111111"/>
      </x:top>
      <x:bottom style="medium">
        <x:color rgb="FF111111"/>
      </x:bottom>
    </x:border>
    <x:border>
      <x:right style="medium">
        <x:color rgb="FF111111"/>
      </x:right>
      <x:top style="medium">
        <x:color rgb="FF111111"/>
      </x:top>
      <x:bottom style="medium">
        <x:color rgb="FF111111"/>
      </x:bottom>
    </x:border>
    <x:border>
      <x:left style="medium">
        <x:color rgb="FFFFD400"/>
      </x:left>
    </x:border>
    <x:border>
      <x:right style="medium">
        <x:color rgb="FFFFD400"/>
      </x:right>
    </x:border>
    <x:border>
      <x:right style="thin">
        <x:color rgb="FFC8C8C8"/>
      </x:right>
      <x:bottom style="thin">
        <x:color rgb="FFC8C8C8"/>
      </x:bottom>
    </x:border>
    <x:border>
      <x:left style="thin">
        <x:color rgb="FFC8C8C8"/>
      </x:left>
      <x:right style="thin">
        <x:color rgb="FFC8C8C8"/>
      </x:right>
      <x:bottom style="thin">
        <x:color rgb="FFC8C8C8"/>
      </x:bottom>
    </x:border>
    <x:border>
      <x:left style="thin">
        <x:color rgb="FFC8C8C8"/>
      </x:left>
      <x:bottom style="thin">
        <x:color rgb="FFC8C8C8"/>
      </x:bottom>
    </x:border>
    <x:border>
      <x:right style="thin">
        <x:color rgb="FFC8C8C8"/>
      </x:right>
      <x:top style="thin">
        <x:color rgb="FFC8C8C8"/>
      </x:top>
      <x:bottom style="thin">
        <x:color rgb="FFC8C8C8"/>
      </x:bottom>
    </x:border>
    <x:border>
      <x:left style="thin">
        <x:color rgb="FFC8C8C8"/>
      </x:left>
      <x:top style="thin">
        <x:color rgb="FFC8C8C8"/>
      </x:top>
      <x:bottom style="thin">
        <x:color rgb="FFC8C8C8"/>
      </x:bottom>
    </x:border>
    <x:border>
      <x:right style="thin">
        <x:color rgb="FFC8C8C8"/>
      </x:right>
      <x:top style="thin">
        <x:color rgb="FFC8C8C8"/>
      </x:top>
    </x:border>
    <x:border>
      <x:left style="thin">
        <x:color rgb="FFC8C8C8"/>
      </x:left>
      <x:right style="thin">
        <x:color rgb="FFC8C8C8"/>
      </x:right>
      <x:top style="thin">
        <x:color rgb="FFC8C8C8"/>
      </x:top>
    </x:border>
    <x:border>
      <x:left style="thin">
        <x:color rgb="FFC8C8C8"/>
      </x:left>
      <x:top style="thin">
        <x:color rgb="FFC8C8C8"/>
      </x:top>
    </x:border>
    <x:border>
      <x:left style="thin">
        <x:color rgb="FFFFD400"/>
      </x:left>
      <x:top style="thin">
        <x:color rgb="FFFFD400"/>
      </x:top>
      <x:bottom style="thin">
        <x:color rgb="FFFFD400"/>
      </x:bottom>
    </x:border>
    <x:border>
      <x:top style="thin">
        <x:color rgb="FFFFD400"/>
      </x:top>
      <x:bottom style="thin">
        <x:color rgb="FFFFD400"/>
      </x:bottom>
    </x:border>
    <x:border>
      <x:right style="thin">
        <x:color rgb="FFFFD400"/>
      </x:right>
      <x:top style="thin">
        <x:color rgb="FFFFD400"/>
      </x:top>
      <x:bottom style="thin">
        <x:color rgb="FFFFD400"/>
      </x:bottom>
    </x:border>
    <x:border>
      <x:bottom style="thin">
        <x:color rgb="FFC8C8C8"/>
      </x:bottom>
    </x:border>
    <x:border>
      <x:top style="thin">
        <x:color rgb="FFC8C8C8"/>
      </x:top>
      <x:bottom style="thin">
        <x:color rgb="FFC8C8C8"/>
      </x:bottom>
    </x:border>
  </x:borders>
  <x:cellStyleXfs count="1">
    <x:xf numFmtId="0" fontId="0" fillId="0" borderId="0"/>
  </x:cellStyleXfs>
  <x:cellXfs count="1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2" xfId="0" applyNumberFormat="1" applyFont="1" applyFill="1" applyBorder="1" applyAlignment="1">
      <x:alignment horizontal="left"/>
    </x:xf>
    <x:xf numFmtId="0" fontId="1" fillId="2" borderId="3" xfId="0" applyNumberFormat="1" applyFont="1" applyFill="1" applyBorder="1" applyAlignment="1">
      <x:alignment horizontal="left"/>
    </x:xf>
    <x:xf numFmtId="0" fontId="1" fillId="2" borderId="4" xfId="0" applyNumberFormat="1" applyFont="1" applyFill="1" applyBorder="1" applyAlignment="1">
      <x:alignment horizontal="left"/>
    </x:xf>
    <x:xf numFmtId="0" fontId="1" fillId="2" borderId="5" xfId="0" applyNumberFormat="1" applyFont="1" applyFill="1" applyBorder="1" applyAlignment="1">
      <x:alignment horizontal="left"/>
    </x:xf>
    <x:xf numFmtId="0" fontId="1" fillId="2" borderId="6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2" borderId="3" xfId="0" applyNumberFormat="1" applyFont="1" applyFill="1" applyBorder="1" applyAlignment="1">
      <x:alignment horizontal="left" vertical="center"/>
    </x:xf>
    <x:xf numFmtId="0" fontId="1" fillId="2" borderId="4" xfId="0" applyNumberFormat="1" applyFont="1" applyFill="1" applyBorder="1" applyAlignment="1">
      <x:alignment horizontal="left" vertical="center"/>
    </x:xf>
    <x:xf numFmtId="0" fontId="1" fillId="2" borderId="5" xfId="0" applyNumberFormat="1" applyFont="1" applyFill="1" applyBorder="1" applyAlignment="1">
      <x:alignment horizontal="left" vertical="center"/>
    </x:xf>
    <x:xf numFmtId="0" fontId="1" fillId="2" borderId="6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7" xfId="0" applyNumberFormat="1" applyFont="1" applyFill="1" applyBorder="1"/>
    <x:xf numFmtId="0" fontId="2" fillId="3" borderId="7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vertical="top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8" xfId="0" applyNumberFormat="1" applyFont="1" applyFill="1" applyBorder="1"/>
    <x:xf numFmtId="0" fontId="3" fillId="6" borderId="9" xfId="0" applyNumberFormat="1" applyFont="1" applyFill="1" applyBorder="1"/>
    <x:xf numFmtId="0" fontId="3" fillId="6" borderId="10" xfId="0" applyNumberFormat="1" applyFont="1" applyFill="1" applyBorder="1"/>
    <x:xf numFmtId="0" fontId="3" fillId="6" borderId="8" xfId="0" applyNumberFormat="1" applyFont="1" applyFill="1" applyBorder="1" applyAlignment="1">
      <x:alignment vertical="center"/>
    </x:xf>
    <x:xf numFmtId="0" fontId="3" fillId="6" borderId="9" xfId="0" applyNumberFormat="1" applyFont="1" applyFill="1" applyBorder="1" applyAlignment="1">
      <x:alignment vertical="center"/>
    </x:xf>
    <x:xf numFmtId="0" fontId="3" fillId="6" borderId="1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0" fillId="0" borderId="7" xfId="0" applyNumberFormat="1" applyFont="1" applyFill="1" applyBorder="1" applyAlignment="1">
      <x:alignment horizontal="center"/>
    </x:xf>
    <x:xf numFmtId="201" fontId="0" fillId="0" borderId="7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4" borderId="7" xfId="0" applyNumberFormat="1" applyFont="1" applyFill="1" applyBorder="1"/>
    <x:xf numFmtId="0" fontId="0" fillId="4" borderId="17" xfId="0" applyNumberFormat="1" applyFont="1" applyFill="1" applyBorder="1"/>
    <x:xf numFmtId="0" fontId="0" fillId="4" borderId="18" xfId="0" applyNumberFormat="1" applyFont="1" applyFill="1" applyBorder="1"/>
    <x:xf numFmtId="0" fontId="0" fillId="4" borderId="19" xfId="0" applyNumberFormat="1" applyFont="1" applyFill="1" applyBorder="1"/>
    <x:xf numFmtId="0" fontId="0" fillId="4" borderId="20" xfId="0" applyNumberFormat="1" applyFont="1" applyFill="1" applyBorder="1"/>
    <x:xf numFmtId="0" fontId="0" fillId="4" borderId="13" xfId="0" applyNumberFormat="1" applyFont="1" applyFill="1" applyBorder="1" applyAlignment="1">
      <x:alignment wrapText="1"/>
    </x:xf>
    <x:xf numFmtId="0" fontId="0" fillId="4" borderId="14" xfId="0" applyNumberFormat="1" applyFont="1" applyFill="1" applyBorder="1" applyAlignment="1">
      <x:alignment wrapText="1"/>
    </x:xf>
    <x:xf numFmtId="0" fontId="0" fillId="4" borderId="15" xfId="0" applyNumberFormat="1" applyFont="1" applyFill="1" applyBorder="1" applyAlignment="1">
      <x:alignment wrapText="1"/>
    </x:xf>
    <x:xf numFmtId="0" fontId="0" fillId="4" borderId="1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17" xfId="0" applyNumberFormat="1" applyFont="1" applyFill="1" applyBorder="1" applyAlignment="1">
      <x:alignment wrapText="1"/>
    </x:xf>
    <x:xf numFmtId="0" fontId="0" fillId="4" borderId="18" xfId="0" applyNumberFormat="1" applyFont="1" applyFill="1" applyBorder="1" applyAlignment="1">
      <x:alignment wrapText="1"/>
    </x:xf>
    <x:xf numFmtId="0" fontId="0" fillId="4" borderId="19" xfId="0" applyNumberFormat="1" applyFont="1" applyFill="1" applyBorder="1" applyAlignment="1">
      <x:alignment wrapText="1"/>
    </x:xf>
    <x:xf numFmtId="0" fontId="0" fillId="4" borderId="2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left" vertical="center"/>
    </x:xf>
    <x:xf numFmtId="0" fontId="5" fillId="2" borderId="2" xfId="0" applyNumberFormat="1" applyFont="1" applyFill="1" applyBorder="1" applyAlignment="1">
      <x:alignment horizontal="left" vertical="center"/>
    </x:xf>
    <x:xf numFmtId="0" fontId="5" fillId="2" borderId="3" xfId="0" applyNumberFormat="1" applyFont="1" applyFill="1" applyBorder="1" applyAlignment="1">
      <x:alignment horizontal="left" vertical="center"/>
    </x:xf>
    <x:xf numFmtId="0" fontId="5" fillId="2" borderId="4" xfId="0" applyNumberFormat="1" applyFont="1" applyFill="1" applyBorder="1" applyAlignment="1">
      <x:alignment horizontal="left" vertical="center"/>
    </x:xf>
    <x:xf numFmtId="0" fontId="5" fillId="2" borderId="5" xfId="0" applyNumberFormat="1" applyFont="1" applyFill="1" applyBorder="1" applyAlignment="1">
      <x:alignment horizontal="left" vertical="center"/>
    </x:xf>
    <x:xf numFmtId="0" fontId="5" fillId="2" borderId="6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3" borderId="7" xfId="0" applyNumberFormat="1" applyFont="1" applyFill="1" applyBorder="1" applyAlignment="1">
      <x:alignment horizontal="center" vertical="center" wrapText="1"/>
    </x:xf>
    <x:xf numFmtId="0" fontId="8" fillId="6" borderId="8" xfId="0" applyNumberFormat="1" applyFont="1" applyFill="1" applyBorder="1" applyAlignment="1">
      <x:alignment vertical="center"/>
    </x:xf>
    <x:xf numFmtId="0" fontId="8" fillId="6" borderId="9" xfId="0" applyNumberFormat="1" applyFont="1" applyFill="1" applyBorder="1" applyAlignment="1">
      <x:alignment vertical="center"/>
    </x:xf>
    <x:xf numFmtId="0" fontId="8" fillId="6" borderId="10" xfId="0" applyNumberFormat="1" applyFont="1" applyFill="1" applyBorder="1" applyAlignment="1">
      <x:alignment vertical="center"/>
    </x:xf>
    <x:xf numFmtId="0" fontId="8" fillId="4" borderId="7" xfId="0" applyNumberFormat="1" applyFont="1" applyFill="1" applyBorder="1" applyAlignment="1">
      <x:alignment vertical="top"/>
    </x:xf>
    <x:xf numFmtId="0" fontId="6" fillId="0" borderId="7" xfId="0" applyNumberFormat="1" applyFont="1" applyFill="1" applyBorder="1" applyAlignment="1">
      <x:alignment vertical="top" wrapText="1"/>
    </x:xf>
    <x:xf numFmtId="0" fontId="9" fillId="4" borderId="7" xfId="0" applyNumberFormat="1" applyFont="1" applyFill="1" applyBorder="1"/>
    <x:xf numFmtId="0" fontId="6" fillId="0" borderId="7" xfId="0" applyNumberFormat="1" applyFont="1" applyFill="1" applyBorder="1" applyAlignment="1">
      <x:alignment horizontal="center"/>
    </x:xf>
    <x:xf numFmtId="200" fontId="6" fillId="0" borderId="7" xfId="0" applyNumberFormat="1" applyFont="1" applyFill="1" applyBorder="1" applyAlignment="1">
      <x:alignment vertical="top" wrapText="1"/>
    </x:xf>
    <x:xf numFmtId="201" fontId="6" fillId="0" borderId="7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top" wrapText="1"/>
    </x:xf>
    <x:xf numFmtId="0" fontId="6" fillId="5" borderId="7" xfId="0" applyNumberFormat="1" applyFont="1" applyFill="1" applyBorder="1" applyAlignment="1">
      <x:alignment vertical="top" wrapText="1"/>
    </x:xf>
    <x:xf numFmtId="0" fontId="6" fillId="5" borderId="11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2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6" xfId="0" applyNumberFormat="1" applyFont="1" applyFill="1" applyBorder="1" applyAlignment="1">
      <x:alignment vertical="top" wrapText="1"/>
    </x:xf>
    <x:xf numFmtId="0" fontId="6" fillId="4" borderId="13" xfId="0" applyNumberFormat="1" applyFont="1" applyFill="1" applyBorder="1" applyAlignment="1">
      <x:alignment wrapText="1"/>
    </x:xf>
    <x:xf numFmtId="0" fontId="6" fillId="4" borderId="14" xfId="0" applyNumberFormat="1" applyFont="1" applyFill="1" applyBorder="1" applyAlignment="1">
      <x:alignment wrapText="1"/>
    </x:xf>
    <x:xf numFmtId="0" fontId="6" fillId="4" borderId="15" xfId="0" applyNumberFormat="1" applyFont="1" applyFill="1" applyBorder="1" applyAlignment="1">
      <x:alignment wrapText="1"/>
    </x:xf>
    <x:xf numFmtId="0" fontId="6" fillId="4" borderId="16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wrapText="1"/>
    </x:xf>
    <x:xf numFmtId="0" fontId="6" fillId="4" borderId="17" xfId="0" applyNumberFormat="1" applyFont="1" applyFill="1" applyBorder="1" applyAlignment="1">
      <x:alignment wrapText="1"/>
    </x:xf>
    <x:xf numFmtId="0" fontId="6" fillId="4" borderId="18" xfId="0" applyNumberFormat="1" applyFont="1" applyFill="1" applyBorder="1" applyAlignment="1">
      <x:alignment wrapText="1"/>
    </x:xf>
    <x:xf numFmtId="0" fontId="6" fillId="4" borderId="19" xfId="0" applyNumberFormat="1" applyFont="1" applyFill="1" applyBorder="1" applyAlignment="1">
      <x:alignment wrapText="1"/>
    </x:xf>
    <x:xf numFmtId="0" fontId="6" fillId="4" borderId="20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3" xfId="0" applyNumberFormat="1" applyFont="1" applyFill="1" applyBorder="1"/>
    <x:xf numFmtId="0" fontId="4" fillId="5" borderId="21" xfId="0" applyNumberFormat="1" applyFont="1" applyFill="1" applyBorder="1" applyAlignment="1">
      <x:alignment wrapText="1"/>
    </x:xf>
    <x:xf numFmtId="0" fontId="4" fillId="5" borderId="22" xfId="0" applyNumberFormat="1" applyFont="1" applyFill="1" applyBorder="1" applyAlignment="1">
      <x:alignment wrapText="1"/>
    </x:xf>
    <x:xf numFmtId="0" fontId="4" fillId="5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4" borderId="24" xfId="0" applyNumberFormat="1" applyFont="1" applyFill="1" applyBorder="1" applyAlignment="1">
      <x:alignment vertical="top" wrapText="1"/>
    </x:xf>
    <x:xf numFmtId="0" fontId="0" fillId="4" borderId="25" xfId="0" applyNumberFormat="1" applyFont="1" applyFill="1" applyBorder="1" applyAlignment="1">
      <x:alignment vertical="top" wrapText="1"/>
    </x:xf>
    <x:xf numFmtId="0" fontId="0" fillId="7" borderId="24" xfId="0" applyNumberFormat="1" applyFont="1" applyFill="1" applyBorder="1" applyAlignment="1">
      <x:alignment vertical="top" wrapText="1"/>
    </x:xf>
    <x:xf numFmtId="0" fontId="0" fillId="7" borderId="25" xfId="0" applyNumberFormat="1" applyFont="1" applyFill="1" applyBorder="1" applyAlignment="1">
      <x:alignment vertical="top" wrapText="1"/>
    </x:xf>
    <x:xf numFmtId="200" fontId="0" fillId="7" borderId="24" xfId="0" applyNumberFormat="1" applyFont="1" applyFill="1" applyBorder="1" applyAlignment="1">
      <x:alignment vertical="top" wrapText="1"/>
    </x:xf>
    <x:xf numFmtId="200" fontId="0" fillId="7" borderId="25" xfId="0" applyNumberFormat="1" applyFont="1" applyFill="1" applyBorder="1" applyAlignment="1">
      <x:alignment vertical="top" wrapText="1"/>
    </x:xf>
    <x:xf numFmtId="0" fontId="9" fillId="5" borderId="21" xfId="0" applyNumberFormat="1" applyFont="1" applyFill="1" applyBorder="1" applyAlignment="1">
      <x:alignment wrapText="1"/>
    </x:xf>
    <x:xf numFmtId="0" fontId="9" fillId="5" borderId="22" xfId="0" applyNumberFormat="1" applyFont="1" applyFill="1" applyBorder="1" applyAlignment="1">
      <x:alignment wrapText="1"/>
    </x:xf>
    <x:xf numFmtId="0" fontId="9" fillId="5" borderId="23" xfId="0" applyNumberFormat="1" applyFont="1" applyFill="1" applyBorder="1" applyAlignment="1">
      <x:alignment wrapText="1"/>
    </x:xf>
    <x:xf numFmtId="0" fontId="6" fillId="4" borderId="24" xfId="0" applyNumberFormat="1" applyFont="1" applyFill="1" applyBorder="1" applyAlignment="1">
      <x:alignment vertical="top" wrapText="1"/>
    </x:xf>
    <x:xf numFmtId="0" fontId="6" fillId="0" borderId="24" xfId="0" applyNumberFormat="1" applyFont="1" applyFill="1" applyBorder="1" applyAlignment="1">
      <x:alignment vertical="top" wrapText="1"/>
    </x:xf>
    <x:xf numFmtId="0" fontId="6" fillId="7" borderId="24" xfId="0" applyNumberFormat="1" applyFont="1" applyFill="1" applyBorder="1" applyAlignment="1">
      <x:alignment vertical="top" wrapText="1"/>
    </x:xf>
    <x:xf numFmtId="200" fontId="6" fillId="7" borderId="24" xfId="0" applyNumberFormat="1" applyFont="1" applyFill="1" applyBorder="1" applyAlignment="1">
      <x:alignment vertical="top" wrapText="1"/>
    </x:xf>
    <x:xf numFmtId="0" fontId="6" fillId="4" borderId="25" xfId="0" applyNumberFormat="1" applyFont="1" applyFill="1" applyBorder="1" applyAlignment="1">
      <x:alignment vertical="top" wrapText="1"/>
    </x:xf>
    <x:xf numFmtId="0" fontId="6" fillId="0" borderId="25" xfId="0" applyNumberFormat="1" applyFont="1" applyFill="1" applyBorder="1" applyAlignment="1">
      <x:alignment vertical="top" wrapText="1"/>
    </x:xf>
    <x:xf numFmtId="0" fontId="6" fillId="7" borderId="25" xfId="0" applyNumberFormat="1" applyFont="1" applyFill="1" applyBorder="1" applyAlignment="1">
      <x:alignment vertical="top" wrapText="1"/>
    </x:xf>
    <x:xf numFmtId="200" fontId="6" fillId="7" borderId="25" xfId="0" applyNumberFormat="1" applyFont="1" applyFill="1" applyBorder="1" applyAlignment="1">
      <x:alignment vertical="top" wrapText="1"/>
    </x:xf>
    <x:xf numFmtId="0" fontId="9" fillId="5" borderId="21" xfId="0" applyNumberFormat="1" applyFont="1" applyFill="1" applyBorder="1"/>
    <x:xf numFmtId="0" fontId="9" fillId="5" borderId="22" xfId="0" applyNumberFormat="1" applyFont="1" applyFill="1" applyBorder="1"/>
    <x:xf numFmtId="0" fontId="9" fillId="5" borderId="23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d034bf5f2c4ad7" /><Relationship Type="http://schemas.openxmlformats.org/officeDocument/2006/relationships/theme" Target="/xl/theme/theme1.xml" Id="R15fcc9fa20634ee2" /><Relationship Type="http://schemas.openxmlformats.org/officeDocument/2006/relationships/sharedStrings" Target="/xl/sharedStrings.xml" Id="Rd5684b513c374304" /><Relationship Type="http://schemas.openxmlformats.org/officeDocument/2006/relationships/worksheet" Target="/xl/worksheets/sheet1.xml" Id="R2387bb021597430a" /><Relationship Type="http://schemas.openxmlformats.org/officeDocument/2006/relationships/worksheet" Target="/xl/worksheets/sheet2.xml" Id="Rdaca8c6fb11842e6" /><Relationship Type="http://schemas.openxmlformats.org/officeDocument/2006/relationships/worksheet" Target="/xl/worksheets/sheet3.xml" Id="R27f98adaa6f04e12" /><Relationship Type="http://schemas.openxmlformats.org/officeDocument/2006/relationships/worksheet" Target="/xl/worksheets/sheet4.xml" Id="R0f5bdba3c09f453c" /><Relationship Type="http://schemas.openxmlformats.org/officeDocument/2006/relationships/worksheet" Target="/xl/worksheets/sheet5.xml" Id="R5ddcc78ca2594956" /></Relationships>
</file>

<file path=xl/tables/table1.xml><?xml version="1.0" encoding="utf-8"?>
<x:table xmlns:x="http://schemas.openxmlformats.org/spreadsheetml/2006/main" id="1" name="AcceptanceTestCases" displayName="AcceptanceTestCases" ref="A5:M101" headerRowCount="1" totalsRowCount="0" totalsRowShown="0">
  <x:tableColumns count="13">
    <x:tableColumn id="1" name="テストID"/>
    <x:tableColumn id="2" name="大分類"/>
    <x:tableColumn id="3" name="中分類"/>
    <x:tableColumn id="4" name="優先度"/>
    <x:tableColumn id="5" name="前提条件"/>
    <x:tableColumn id="6" name="操作手順"/>
    <x:tableColumn id="7" name="期待結果"/>
    <x:tableColumn id="8" name="要件／仕様"/>
    <x:tableColumn id="9" name="結果"/>
    <x:tableColumn id="10" name="実施日"/>
    <x:tableColumn id="11" name="実施者"/>
    <x:tableColumn id="12" name="証跡／備考"/>
    <x:tableColumn id="13" name="不具合No.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celComparisonCases" displayName="ExcelComparisonCases" ref="A5:I21" headerRowCount="1" totalsRowCount="0" totalsRowShown="0">
  <x:tableColumns count="9">
    <x:tableColumn id="1" name="照合ID"/>
    <x:tableColumn id="2" name="ケース"/>
    <x:tableColumn id="3" name="入力条件"/>
    <x:tableColumn id="4" name="期待値／確認点"/>
    <x:tableColumn id="5" name="Excel結果"/>
    <x:tableColumn id="6" name="システム結果"/>
    <x:tableColumn id="7" name="差異"/>
    <x:tableColumn id="8" name="結果"/>
    <x:tableColumn id="9" name="備考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fectLog" displayName="DefectLog" ref="A5:J35" headerRowCount="1" totalsRowCount="0" totalsRowShown="0">
  <x:tableColumns count="10">
    <x:tableColumn id="1" name="不具合No."/>
    <x:tableColumn id="2" name="関連テストID"/>
    <x:tableColumn id="3" name="発見日"/>
    <x:tableColumn id="4" name="重要度"/>
    <x:tableColumn id="5" name="概要"/>
    <x:tableColumn id="6" name="再現手順"/>
    <x:tableColumn id="7" name="期待結果"/>
    <x:tableColumn id="8" name="実際の結果"/>
    <x:tableColumn id="9" name="状態"/>
    <x:tableColumn id="10" name="対応・再テスト結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e5b6620ac741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248a7e542e4a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b54edef01e941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  <x:col min="3" max="3" width="3" hidden="0" customWidth="1"/>
    <x:col min="4" max="4" width="20" hidden="0" customWidth="1"/>
    <x:col min="5" max="5" width="14" hidden="0" customWidth="1"/>
    <x:col min="6" max="6" width="3" hidden="0" customWidth="1"/>
    <x:col min="7" max="7" width="18" hidden="0" customWidth="1"/>
    <x:col min="8" max="8" width="14" hidden="0" customWidth="1"/>
  </x:cols>
  <x:sheetData>
    <x:row r="1" ht="28" customHeight="1">
      <x:c r="A1" s="93" t="str">
        <x:v>勤怠管理システム　受入テスト仕様書</x:v>
      </x:c>
      <x:c r="B1" s="94" t="str">
        <x:v>勤怠管理システム　受入テスト仕様書</x:v>
      </x:c>
      <x:c r="C1" s="94" t="str">
        <x:v>勤怠管理システム　受入テスト仕様書</x:v>
      </x:c>
      <x:c r="D1" s="94" t="str">
        <x:v>勤怠管理システム　受入テスト仕様書</x:v>
      </x:c>
      <x:c r="E1" s="94" t="str">
        <x:v>勤怠管理システム　受入テスト仕様書</x:v>
      </x:c>
      <x:c r="F1" s="94" t="str">
        <x:v>勤怠管理システム　受入テスト仕様書</x:v>
      </x:c>
      <x:c r="G1" s="94" t="str">
        <x:v>勤怠管理システム　受入テスト仕様書</x:v>
      </x:c>
      <x:c r="H1" s="95" t="str">
        <x:v>勤怠管理システム　受入テスト仕様書</x:v>
      </x:c>
    </x:row>
    <x:row r="2" ht="28" customHeight="1">
      <x:c r="A2" s="96" t="str">
        <x:v>勤怠管理システム　受入テスト仕様書</x:v>
      </x:c>
      <x:c r="B2" s="97" t="str">
        <x:v>勤怠管理システム　受入テスト仕様書</x:v>
      </x:c>
      <x:c r="C2" s="97" t="str">
        <x:v>勤怠管理システム　受入テスト仕様書</x:v>
      </x:c>
      <x:c r="D2" s="97" t="str">
        <x:v>勤怠管理システム　受入テスト仕様書</x:v>
      </x:c>
      <x:c r="E2" s="97" t="str">
        <x:v>勤怠管理システム　受入テスト仕様書</x:v>
      </x:c>
      <x:c r="F2" s="97" t="str">
        <x:v>勤怠管理システム　受入テスト仕様書</x:v>
      </x:c>
      <x:c r="G2" s="97" t="str">
        <x:v>勤怠管理システム　受入テスト仕様書</x:v>
      </x:c>
      <x:c r="H2" s="98" t="str">
        <x:v>勤怠管理システム　受入テスト仕様書</x:v>
      </x:c>
    </x:row>
    <x:row r="3">
      <x:c r="A3" s="99"/>
      <x:c r="B3" s="99"/>
      <x:c r="C3" s="99"/>
      <x:c r="D3" s="99"/>
      <x:c r="E3" s="99"/>
      <x:c r="F3" s="99"/>
      <x:c r="G3" s="99"/>
      <x:c r="H3" s="99"/>
    </x:row>
    <x:row r="4">
      <x:c r="A4" s="100" t="str">
        <x:v>文書情報</x:v>
      </x:c>
      <x:c r="B4" s="100" t="str">
        <x:v>内容</x:v>
      </x:c>
      <x:c r="C4" s="99"/>
      <x:c r="D4" s="101" t="str">
        <x:v>進捗サマリー</x:v>
      </x:c>
      <x:c r="E4" s="102" t="str">
        <x:v>進捗サマリー</x:v>
      </x:c>
      <x:c r="F4" s="102" t="str">
        <x:v>進捗サマリー</x:v>
      </x:c>
      <x:c r="G4" s="102" t="str">
        <x:v>進捗サマリー</x:v>
      </x:c>
      <x:c r="H4" s="103" t="str">
        <x:v>進捗サマリー</x:v>
      </x:c>
    </x:row>
    <x:row r="5">
      <x:c r="A5" s="104" t="str">
        <x:v>システム名</x:v>
      </x:c>
      <x:c r="B5" s="105" t="str">
        <x:v>勤怠管理システム</x:v>
      </x:c>
      <x:c r="C5" s="99"/>
      <x:c r="D5" s="100" t="str">
        <x:v>指標</x:v>
      </x:c>
      <x:c r="E5" s="100" t="str">
        <x:v>件数／率</x:v>
      </x:c>
      <x:c r="F5" s="99"/>
      <x:c r="G5" s="100" t="str">
        <x:v>優先度</x:v>
      </x:c>
      <x:c r="H5" s="100" t="str">
        <x:v>未完了件数</x:v>
      </x:c>
    </x:row>
    <x:row r="6">
      <x:c r="A6" s="104" t="str">
        <x:v>文書名</x:v>
      </x:c>
      <x:c r="B6" s="105" t="str">
        <x:v>受入テスト仕様書</x:v>
      </x:c>
      <x:c r="C6" s="99"/>
      <x:c r="D6" s="106" t="str">
        <x:v>テストケース総数</x:v>
      </x:c>
      <x:c r="E6" s="107" t="n">
        <x:f>COUNTA('テストケース'!A6:A104)</x:f>
        <x:v>99</x:v>
      </x:c>
      <x:c r="F6" s="99"/>
      <x:c r="G6" s="106" t="str">
        <x:v>高</x:v>
      </x:c>
      <x:c r="H6" s="107" t="n">
        <x:f>COUNTIFS('テストケース'!D6:D104,"高",'テストケース'!I6:I104,"&lt;&gt;OK",'テストケース'!I6:I104,"&lt;&gt;対象外")</x:f>
        <x:v>20</x:v>
      </x:c>
    </x:row>
    <x:row r="7">
      <x:c r="A7" s="104" t="str">
        <x:v>版数</x:v>
      </x:c>
      <x:c r="B7" s="105" t="str">
        <x:v>1.1</x:v>
      </x:c>
      <x:c r="C7" s="99"/>
      <x:c r="D7" s="106" t="str">
        <x:v>実施済み</x:v>
      </x:c>
      <x:c r="E7" s="107" t="n">
        <x:f>COUNTIF('テストケース'!I6:I104,"OK")+COUNTIF('テストケース'!I6:I104,"NG")+COUNTIF('テストケース'!I6:I104,"保留")+COUNTIF('テストケース'!I6:I104,"対象外")</x:f>
        <x:v>99</x:v>
      </x:c>
      <x:c r="F7" s="99"/>
      <x:c r="G7" s="106" t="str">
        <x:v>中</x:v>
      </x:c>
      <x:c r="H7" s="107" t="n">
        <x:f>COUNTIFS('テストケース'!D6:D104,"中",'テストケース'!I6:I104,"&lt;&gt;OK",'テストケース'!I6:I104,"&lt;&gt;対象外")</x:f>
        <x:v>10</x:v>
      </x:c>
    </x:row>
    <x:row r="8">
      <x:c r="A8" s="104" t="str">
        <x:v>作成日</x:v>
      </x:c>
      <x:c r="B8" s="108" t="n">
        <x:v>46227</x:v>
      </x:c>
      <x:c r="C8" s="99"/>
      <x:c r="D8" s="106" t="str">
        <x:v>OK</x:v>
      </x:c>
      <x:c r="E8" s="107" t="n">
        <x:f>COUNTIF('テストケース'!I6:I104,"OK")</x:f>
        <x:v>69</x:v>
      </x:c>
      <x:c r="F8" s="99"/>
      <x:c r="G8" s="106" t="str">
        <x:v>低</x:v>
      </x:c>
      <x:c r="H8" s="107" t="n">
        <x:f>COUNTIFS('テストケース'!D6:D104,"低",'テストケース'!I6:I104,"&lt;&gt;OK",'テストケース'!I6:I104,"&lt;&gt;対象外")</x:f>
        <x:v>0</x:v>
      </x:c>
    </x:row>
    <x:row r="9">
      <x:c r="A9" s="104" t="str">
        <x:v>対象環境</x:v>
      </x:c>
      <x:c r="B9" s="105" t="str">
        <x:v>ローカル検証環境（http://localhost:4173）</x:v>
      </x:c>
      <x:c r="C9" s="99"/>
      <x:c r="D9" s="106" t="str">
        <x:v>NG</x:v>
      </x:c>
      <x:c r="E9" s="107" t="n">
        <x:f>COUNTIF('テストケース'!I6:I104,"NG")</x:f>
        <x:v>0</x:v>
      </x:c>
      <x:c r="F9" s="99"/>
      <x:c r="G9" s="106" t="str">
        <x:v>重大NG</x:v>
      </x:c>
      <x:c r="H9" s="107" t="n">
        <x:f>COUNTIFS('テストケース'!D6:D104,"高",'テストケース'!I6:I104,"NG")</x:f>
        <x:v>0</x:v>
      </x:c>
    </x:row>
    <x:row r="10">
      <x:c r="A10" s="104" t="str">
        <x:v>対象範囲</x:v>
      </x:c>
      <x:c r="B10" s="105" t="str">
        <x:v>React SPA／Spring Boot API／PostgreSQL／Excel・PDF・Outlook・Slack連携</x:v>
      </x:c>
      <x:c r="C10" s="99"/>
      <x:c r="D10" s="106" t="str">
        <x:v>保留</x:v>
      </x:c>
      <x:c r="E10" s="107" t="n">
        <x:f>COUNTIF('テストケース'!I6:I104,"保留")</x:f>
        <x:v>30</x:v>
      </x:c>
      <x:c r="F10" s="99"/>
      <x:c r="G10" s="106" t="str">
        <x:v>不具合総数</x:v>
      </x:c>
      <x:c r="H10" s="107" t="n">
        <x:f>COUNTA('不具合記録'!A6:A35)</x:f>
        <x:v>3</x:v>
      </x:c>
    </x:row>
    <x:row r="11">
      <x:c r="A11" s="104" t="str">
        <x:v>作成根拠</x:v>
      </x:c>
      <x:c r="B11" s="105" t="str">
        <x:v>README、要件ドラフト、Excel忠実再現合格基準、実装状況、現行ソースコード</x:v>
      </x:c>
      <x:c r="C11" s="99"/>
      <x:c r="D11" s="106" t="str">
        <x:v>OK率</x:v>
      </x:c>
      <x:c r="E11" s="109" t="n">
        <x:f>IF(E7=0,0,E8/E7)</x:f>
        <x:v>0.696969696969697</x:v>
      </x:c>
      <x:c r="F11" s="99"/>
      <x:c r="G11" s="99"/>
      <x:c r="H11" s="99"/>
    </x:row>
    <x:row r="12">
      <x:c r="A12" s="104" t="str">
        <x:v>判定基準</x:v>
      </x:c>
      <x:c r="B12" s="105" t="str">
        <x:v>期待結果と一致＝OK、不一致＝NG、確認不能＝保留、対象外＝対象外</x:v>
      </x:c>
      <x:c r="C12" s="99"/>
      <x:c r="D12" s="99"/>
      <x:c r="E12" s="99"/>
      <x:c r="F12" s="99"/>
      <x:c r="G12" s="99"/>
      <x:c r="H12" s="99"/>
    </x:row>
    <x:row r="13">
      <x:c r="A13" s="104" t="str">
        <x:v>実施前注意</x:v>
      </x:c>
      <x:c r="B13" s="105" t="str">
        <x:v>個人情報を含む証跡は社外へ共有しない。実在社員データではなくテストデータを優先する。</x:v>
      </x:c>
      <x:c r="C13" s="99"/>
      <x:c r="D13" s="110" t="str">
        <x:v>実施方法
1. 「テスト環境・データ」を準備する。
2. 「テストケース」を上から実施し、結果・実施日・実施者・証跡を記録する。
3. 計算系は「Excel照合」で元Excelと結果を比較する。
4. NGの場合は「不具合記録」へ登録し、不具合No.をテストケースへ転記する。</x:v>
      </x:c>
      <x:c r="E13" s="111" t="str">
        <x:v>実施方法
1. 「テスト環境・データ」を準備する。
2. 「テストケース」を上から実施し、結果・実施日・実施者・証跡を記録する。
3. 計算系は「Excel照合」で元Excelと結果を比較する。
4. NGの場合は「不具合記録」へ登録し、不具合No.をテストケースへ転記する。</x:v>
      </x:c>
      <x:c r="F13" s="111" t="str">
        <x:v>実施方法
1. 「テスト環境・データ」を準備する。
2. 「テストケース」を上から実施し、結果・実施日・実施者・証跡を記録する。
3. 計算系は「Excel照合」で元Excelと結果を比較する。
4. NGの場合は「不具合記録」へ登録し、不具合No.をテストケースへ転記する。</x:v>
      </x:c>
      <x:c r="G13" s="111" t="str">
        <x:v>実施方法
1. 「テスト環境・データ」を準備する。
2. 「テストケース」を上から実施し、結果・実施日・実施者・証跡を記録する。
3. 計算系は「Excel照合」で元Excelと結果を比較する。
4. NGの場合は「不具合記録」へ登録し、不具合No.をテストケースへ転記する。</x:v>
      </x:c>
      <x:c r="H13" s="112" t="str">
        <x:v>実施方法
1. 「テスト環境・データ」を準備する。
2. 「テストケース」を上から実施し、結果・実施日・実施者・証跡を記録する。
3. 計算系は「Excel照合」で元Excelと結果を比較する。
4. NGの場合は「不具合記録」へ登録し、不具合No.をテストケースへ転記する。</x:v>
      </x:c>
    </x:row>
    <x:row r="14">
      <x:c r="A14" s="104" t="str">
        <x:v>総合判定</x:v>
      </x:c>
      <x:c r="B14" s="113" t="str">
        <x:v>条件付き合格（保留あり）</x:v>
      </x:c>
      <x:c r="C14" s="99"/>
      <x:c r="D14" s="114" t="str">
        <x:v>実施方法
1. 「テスト環境・データ」を準備する。
2. 「テストケース」を上から実施し、結果・実施日・実施者・証跡を記録する。
3. 計算系は「Excel照合」で元Excelと結果を比較する。
4. NGの場合は「不具合記録」へ登録し、不具合No.をテストケースへ転記する。</x:v>
      </x:c>
      <x:c r="E14" s="115" t="str">
        <x:v>実施方法
1. 「テスト環境・データ」を準備する。
2. 「テストケース」を上から実施し、結果・実施日・実施者・証跡を記録する。
3. 計算系は「Excel照合」で元Excelと結果を比較する。
4. NGの場合は「不具合記録」へ登録し、不具合No.をテストケースへ転記する。</x:v>
      </x:c>
      <x:c r="F14" s="115" t="str">
        <x:v>実施方法
1. 「テスト環境・データ」を準備する。
2. 「テストケース」を上から実施し、結果・実施日・実施者・証跡を記録する。
3. 計算系は「Excel照合」で元Excelと結果を比較する。
4. NGの場合は「不具合記録」へ登録し、不具合No.をテストケースへ転記する。</x:v>
      </x:c>
      <x:c r="G14" s="115" t="str">
        <x:v>実施方法
1. 「テスト環境・データ」を準備する。
2. 「テストケース」を上から実施し、結果・実施日・実施者・証跡を記録する。
3. 計算系は「Excel照合」で元Excelと結果を比較する。
4. NGの場合は「不具合記録」へ登録し、不具合No.をテストケースへ転記する。</x:v>
      </x:c>
      <x:c r="H14" s="116" t="str">
        <x:v>実施方法
1. 「テスト環境・データ」を準備する。
2. 「テストケース」を上から実施し、結果・実施日・実施者・証跡を記録する。
3. 計算系は「Excel照合」で元Excelと結果を比較する。
4. NGの場合は「不具合記録」へ登録し、不具合No.をテストケースへ転記する。</x:v>
      </x:c>
    </x:row>
    <x:row r="15">
      <x:c r="A15" s="104" t="str">
        <x:v>判定者</x:v>
      </x:c>
      <x:c r="B15" s="113" t="str">
        <x:v>Codex</x:v>
      </x:c>
      <x:c r="C15" s="99"/>
      <x:c r="D15" s="117" t="str">
        <x:v>実施方法
1. 「テスト環境・データ」を準備する。
2. 「テストケース」を上から実施し、結果・実施日・実施者・証跡を記録する。
3. 計算系は「Excel照合」で元Excelと結果を比較する。
4. NGの場合は「不具合記録」へ登録し、不具合No.をテストケースへ転記する。</x:v>
      </x:c>
      <x:c r="E15" s="118" t="str">
        <x:v>実施方法
1. 「テスト環境・データ」を準備する。
2. 「テストケース」を上から実施し、結果・実施日・実施者・証跡を記録する。
3. 計算系は「Excel照合」で元Excelと結果を比較する。
4. NGの場合は「不具合記録」へ登録し、不具合No.をテストケースへ転記する。</x:v>
      </x:c>
      <x:c r="F15" s="118" t="str">
        <x:v>実施方法
1. 「テスト環境・データ」を準備する。
2. 「テストケース」を上から実施し、結果・実施日・実施者・証跡を記録する。
3. 計算系は「Excel照合」で元Excelと結果を比較する。
4. NGの場合は「不具合記録」へ登録し、不具合No.をテストケースへ転記する。</x:v>
      </x:c>
      <x:c r="G15" s="118" t="str">
        <x:v>実施方法
1. 「テスト環境・データ」を準備する。
2. 「テストケース」を上から実施し、結果・実施日・実施者・証跡を記録する。
3. 計算系は「Excel照合」で元Excelと結果を比較する。
4. NGの場合は「不具合記録」へ登録し、不具合No.をテストケースへ転記する。</x:v>
      </x:c>
      <x:c r="H15" s="119" t="str">
        <x:v>実施方法
1. 「テスト環境・データ」を準備する。
2. 「テストケース」を上から実施し、結果・実施日・実施者・証跡を記録する。
3. 計算系は「Excel照合」で元Excelと結果を比較する。
4. NGの場合は「不具合記録」へ登録し、不具合No.をテストケースへ転記する。</x:v>
      </x:c>
    </x:row>
    <x:row r="16">
      <x:c r="A16" s="99"/>
      <x:c r="B16" s="99"/>
      <x:c r="C16" s="99"/>
      <x:c r="D16" s="99"/>
      <x:c r="E16" s="99"/>
      <x:c r="F16" s="99"/>
      <x:c r="G16" s="99"/>
      <x:c r="H16" s="99"/>
    </x:row>
    <x:row r="17">
      <x:c r="A17" s="101" t="str">
        <x:v>対象外・制約</x:v>
      </x:c>
      <x:c r="B17" s="102" t="str">
        <x:v>対象外・制約</x:v>
      </x:c>
      <x:c r="C17" s="102" t="str">
        <x:v>対象外・制約</x:v>
      </x:c>
      <x:c r="D17" s="102" t="str">
        <x:v>対象外・制約</x:v>
      </x:c>
      <x:c r="E17" s="102" t="str">
        <x:v>対象外・制約</x:v>
      </x:c>
      <x:c r="F17" s="102" t="str">
        <x:v>対象外・制約</x:v>
      </x:c>
      <x:c r="G17" s="102" t="str">
        <x:v>対象外・制約</x:v>
      </x:c>
      <x:c r="H17" s="103" t="str">
        <x:v>対象外・制約</x:v>
      </x:c>
    </x:row>
    <x:row r="18">
      <x:c r="A18" s="120" t="str">
        <x:v>・電子承認、提出、差戻し、月次締めは対象外です。</x:v>
      </x:c>
      <x:c r="B18" s="121" t="str">
        <x:v>・電子承認、提出、差戻し、月次締めは対象外です。</x:v>
      </x:c>
      <x:c r="C18" s="121" t="str">
        <x:v>・電子承認、提出、差戻し、月次締めは対象外です。</x:v>
      </x:c>
      <x:c r="D18" s="121" t="str">
        <x:v>・電子承認、提出、差戻し、月次締めは対象外です。</x:v>
      </x:c>
      <x:c r="E18" s="121" t="str">
        <x:v>・電子承認、提出、差戻し、月次締めは対象外です。</x:v>
      </x:c>
      <x:c r="F18" s="121" t="str">
        <x:v>・電子承認、提出、差戻し、月次締めは対象外です。</x:v>
      </x:c>
      <x:c r="G18" s="121" t="str">
        <x:v>・電子承認、提出、差戻し、月次締めは対象外です。</x:v>
      </x:c>
      <x:c r="H18" s="122" t="str">
        <x:v>・電子承認、提出、差戻し、月次締めは対象外です。</x:v>
      </x:c>
    </x:row>
    <x:row r="19">
      <x:c r="A19" s="123" t="str">
        <x:v>・給与・会計システム向け出力は対象外です。</x:v>
      </x:c>
      <x:c r="B19" s="124" t="str">
        <x:v>・給与・会計システム向け出力は対象外です。</x:v>
      </x:c>
      <x:c r="C19" s="124" t="str">
        <x:v>・給与・会計システム向け出力は対象外です。</x:v>
      </x:c>
      <x:c r="D19" s="124" t="str">
        <x:v>・給与・会計システム向け出力は対象外です。</x:v>
      </x:c>
      <x:c r="E19" s="124" t="str">
        <x:v>・給与・会計システム向け出力は対象外です。</x:v>
      </x:c>
      <x:c r="F19" s="124" t="str">
        <x:v>・給与・会計システム向け出力は対象外です。</x:v>
      </x:c>
      <x:c r="G19" s="124" t="str">
        <x:v>・給与・会計システム向け出力は対象外です。</x:v>
      </x:c>
      <x:c r="H19" s="125" t="str">
        <x:v>・給与・会計システム向け出力は対象外です。</x:v>
      </x:c>
    </x:row>
    <x:row r="20">
      <x:c r="A20" s="123" t="str">
        <x:v>・VPN、TLS、バックアップ、社内SSOは社内サーバー導入時に別途検証します。</x:v>
      </x:c>
      <x:c r="B20" s="124" t="str">
        <x:v>・VPN、TLS、バックアップ、社内SSOは社内サーバー導入時に別途検証します。</x:v>
      </x:c>
      <x:c r="C20" s="124" t="str">
        <x:v>・VPN、TLS、バックアップ、社内SSOは社内サーバー導入時に別途検証します。</x:v>
      </x:c>
      <x:c r="D20" s="124" t="str">
        <x:v>・VPN、TLS、バックアップ、社内SSOは社内サーバー導入時に別途検証します。</x:v>
      </x:c>
      <x:c r="E20" s="124" t="str">
        <x:v>・VPN、TLS、バックアップ、社内SSOは社内サーバー導入時に別途検証します。</x:v>
      </x:c>
      <x:c r="F20" s="124" t="str">
        <x:v>・VPN、TLS、バックアップ、社内SSOは社内サーバー導入時に別途検証します。</x:v>
      </x:c>
      <x:c r="G20" s="124" t="str">
        <x:v>・VPN、TLS、バックアップ、社内SSOは社内サーバー導入時に別途検証します。</x:v>
      </x:c>
      <x:c r="H20" s="125" t="str">
        <x:v>・VPN、TLS、バックアップ、社内SSOは社内サーバー導入時に別途検証します。</x:v>
      </x:c>
    </x:row>
    <x:row r="21">
      <x:c r="A21" s="123" t="str">
        <x:v>・正社員8時間勤務以外の帳票と、提供済み以外のExcelレイアウトは対象外です。</x:v>
      </x:c>
      <x:c r="B21" s="124" t="str">
        <x:v>・正社員8時間勤務以外の帳票と、提供済み以外のExcelレイアウトは対象外です。</x:v>
      </x:c>
      <x:c r="C21" s="124" t="str">
        <x:v>・正社員8時間勤務以外の帳票と、提供済み以外のExcelレイアウトは対象外です。</x:v>
      </x:c>
      <x:c r="D21" s="124" t="str">
        <x:v>・正社員8時間勤務以外の帳票と、提供済み以外のExcelレイアウトは対象外です。</x:v>
      </x:c>
      <x:c r="E21" s="124" t="str">
        <x:v>・正社員8時間勤務以外の帳票と、提供済み以外のExcelレイアウトは対象外です。</x:v>
      </x:c>
      <x:c r="F21" s="124" t="str">
        <x:v>・正社員8時間勤務以外の帳票と、提供済み以外のExcelレイアウトは対象外です。</x:v>
      </x:c>
      <x:c r="G21" s="124" t="str">
        <x:v>・正社員8時間勤務以外の帳票と、提供済み以外のExcelレイアウトは対象外です。</x:v>
      </x:c>
      <x:c r="H21" s="125" t="str">
        <x:v>・正社員8時間勤務以外の帳票と、提供済み以外のExcelレイアウトは対象外です。</x:v>
      </x:c>
    </x:row>
    <x:row r="22">
      <x:c r="A22" s="126" t="str">
        <x:v>・Outlookメールの送信操作は実施者が宛先を確認したうえで行い、テストでは原則として送信直前まで確認します。</x:v>
      </x:c>
      <x:c r="B22" s="127" t="str">
        <x:v>・Outlookメールの送信操作は実施者が宛先を確認したうえで行い、テストでは原則として送信直前まで確認します。</x:v>
      </x:c>
      <x:c r="C22" s="127" t="str">
        <x:v>・Outlookメールの送信操作は実施者が宛先を確認したうえで行い、テストでは原則として送信直前まで確認します。</x:v>
      </x:c>
      <x:c r="D22" s="127" t="str">
        <x:v>・Outlookメールの送信操作は実施者が宛先を確認したうえで行い、テストでは原則として送信直前まで確認します。</x:v>
      </x:c>
      <x:c r="E22" s="127" t="str">
        <x:v>・Outlookメールの送信操作は実施者が宛先を確認したうえで行い、テストでは原則として送信直前まで確認します。</x:v>
      </x:c>
      <x:c r="F22" s="127" t="str">
        <x:v>・Outlookメールの送信操作は実施者が宛先を確認したうえで行い、テストでは原則として送信直前まで確認します。</x:v>
      </x:c>
      <x:c r="G22" s="127" t="str">
        <x:v>・Outlookメールの送信操作は実施者が宛先を確認したうえで行い、テストでは原則として送信直前まで確認します。</x:v>
      </x:c>
      <x:c r="H22" s="128" t="str">
        <x:v>・Outlookメールの送信操作は実施者が宛先を確認したうえで行い、テストでは原則として送信直前まで確認します。</x:v>
      </x:c>
    </x:row>
  </x:sheetData>
  <x:mergeCells>
    <x:mergeCell ref="A1:H2"/>
    <x:mergeCell ref="D4:H4"/>
    <x:mergeCell ref="D13:H15"/>
    <x:mergeCell ref="A17:H17"/>
    <x:mergeCell ref="A18:H18"/>
    <x:mergeCell ref="A19:H19"/>
    <x:mergeCell ref="A20:H20"/>
    <x:mergeCell ref="A21:H21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9" hidden="0" customWidth="1"/>
    <x:col min="5" max="5" width="28" hidden="0" customWidth="1"/>
    <x:col min="6" max="6" width="44" hidden="0" customWidth="1"/>
    <x:col min="7" max="7" width="48" hidden="0" customWidth="1"/>
    <x:col min="8" max="8" width="25" hidden="0" customWidth="1"/>
    <x:col min="9" max="9" width="10" hidden="0" customWidth="1"/>
    <x:col min="10" max="10" width="13" hidden="0" customWidth="1"/>
    <x:col min="11" max="11" width="14" hidden="0" customWidth="1"/>
    <x:col min="12" max="12" width="30" hidden="0" customWidth="1"/>
    <x:col min="13" max="13" width="14" hidden="0" customWidth="1"/>
  </x:cols>
  <x:sheetData>
    <x:row r="1" ht="28" customHeight="1">
      <x:c r="A1" s="93" t="str">
        <x:v>受入テストケース</x:v>
      </x:c>
      <x:c r="B1" s="94" t="str">
        <x:v>受入テストケース</x:v>
      </x:c>
      <x:c r="C1" s="94" t="str">
        <x:v>受入テストケース</x:v>
      </x:c>
      <x:c r="D1" s="94" t="str">
        <x:v>受入テストケース</x:v>
      </x:c>
      <x:c r="E1" s="94" t="str">
        <x:v>受入テストケース</x:v>
      </x:c>
      <x:c r="F1" s="94" t="str">
        <x:v>受入テストケース</x:v>
      </x:c>
      <x:c r="G1" s="94" t="str">
        <x:v>受入テストケース</x:v>
      </x:c>
      <x:c r="H1" s="94" t="str">
        <x:v>受入テストケース</x:v>
      </x:c>
      <x:c r="I1" s="94" t="str">
        <x:v>受入テストケース</x:v>
      </x:c>
      <x:c r="J1" s="94" t="str">
        <x:v>受入テストケース</x:v>
      </x:c>
      <x:c r="K1" s="94" t="str">
        <x:v>受入テストケース</x:v>
      </x:c>
      <x:c r="L1" s="94" t="str">
        <x:v>受入テストケース</x:v>
      </x:c>
      <x:c r="M1" s="95" t="str">
        <x:v>受入テストケース</x:v>
      </x:c>
    </x:row>
    <x:row r="2" ht="28" customHeight="1">
      <x:c r="A2" s="96" t="str">
        <x:v>受入テストケース</x:v>
      </x:c>
      <x:c r="B2" s="97" t="str">
        <x:v>受入テストケース</x:v>
      </x:c>
      <x:c r="C2" s="97" t="str">
        <x:v>受入テストケース</x:v>
      </x:c>
      <x:c r="D2" s="97" t="str">
        <x:v>受入テストケース</x:v>
      </x:c>
      <x:c r="E2" s="97" t="str">
        <x:v>受入テストケース</x:v>
      </x:c>
      <x:c r="F2" s="97" t="str">
        <x:v>受入テストケース</x:v>
      </x:c>
      <x:c r="G2" s="97" t="str">
        <x:v>受入テストケース</x:v>
      </x:c>
      <x:c r="H2" s="97" t="str">
        <x:v>受入テストケース</x:v>
      </x:c>
      <x:c r="I2" s="97" t="str">
        <x:v>受入テストケース</x:v>
      </x:c>
      <x:c r="J2" s="97" t="str">
        <x:v>受入テストケース</x:v>
      </x:c>
      <x:c r="K2" s="97" t="str">
        <x:v>受入テストケース</x:v>
      </x:c>
      <x:c r="L2" s="97" t="str">
        <x:v>受入テストケース</x:v>
      </x:c>
      <x:c r="M2" s="98" t="str">
        <x:v>受入テストケース</x:v>
      </x:c>
    </x:row>
    <x:row r="3">
      <x:c r="A3" s="99"/>
      <x:c r="B3" s="99"/>
      <x:c r="C3" s="99"/>
      <x:c r="D3" s="99"/>
      <x:c r="E3" s="99"/>
      <x:c r="F3" s="99"/>
      <x:c r="G3" s="99"/>
      <x:c r="H3" s="99"/>
      <x:c r="I3" s="99"/>
      <x:c r="J3" s="99"/>
      <x:c r="K3" s="99"/>
      <x:c r="L3" s="99"/>
      <x:c r="M3" s="99"/>
    </x:row>
    <x:row r="4">
      <x:c r="A4" s="148" t="str">
        <x:v>入力欄：結果、実施日、実施者、証跡／備考、不具合No.　｜　結果は「未実施／OK／NG／保留／対象外」から選択してください。</x:v>
      </x:c>
      <x:c r="B4" s="149" t="str">
        <x:v>入力欄：結果、実施日、実施者、証跡／備考、不具合No.　｜　結果は「未実施／OK／NG／保留／対象外」から選択してください。</x:v>
      </x:c>
      <x:c r="C4" s="149" t="str">
        <x:v>入力欄：結果、実施日、実施者、証跡／備考、不具合No.　｜　結果は「未実施／OK／NG／保留／対象外」から選択してください。</x:v>
      </x:c>
      <x:c r="D4" s="149" t="str">
        <x:v>入力欄：結果、実施日、実施者、証跡／備考、不具合No.　｜　結果は「未実施／OK／NG／保留／対象外」から選択してください。</x:v>
      </x:c>
      <x:c r="E4" s="149" t="str">
        <x:v>入力欄：結果、実施日、実施者、証跡／備考、不具合No.　｜　結果は「未実施／OK／NG／保留／対象外」から選択してください。</x:v>
      </x:c>
      <x:c r="F4" s="149" t="str">
        <x:v>入力欄：結果、実施日、実施者、証跡／備考、不具合No.　｜　結果は「未実施／OK／NG／保留／対象外」から選択してください。</x:v>
      </x:c>
      <x:c r="G4" s="149" t="str">
        <x:v>入力欄：結果、実施日、実施者、証跡／備考、不具合No.　｜　結果は「未実施／OK／NG／保留／対象外」から選択してください。</x:v>
      </x:c>
      <x:c r="H4" s="149" t="str">
        <x:v>入力欄：結果、実施日、実施者、証跡／備考、不具合No.　｜　結果は「未実施／OK／NG／保留／対象外」から選択してください。</x:v>
      </x:c>
      <x:c r="I4" s="149" t="str">
        <x:v>入力欄：結果、実施日、実施者、証跡／備考、不具合No.　｜　結果は「未実施／OK／NG／保留／対象外」から選択してください。</x:v>
      </x:c>
      <x:c r="J4" s="149" t="str">
        <x:v>入力欄：結果、実施日、実施者、証跡／備考、不具合No.　｜　結果は「未実施／OK／NG／保留／対象外」から選択してください。</x:v>
      </x:c>
      <x:c r="K4" s="149" t="str">
        <x:v>入力欄：結果、実施日、実施者、証跡／備考、不具合No.　｜　結果は「未実施／OK／NG／保留／対象外」から選択してください。</x:v>
      </x:c>
      <x:c r="L4" s="149" t="str">
        <x:v>入力欄：結果、実施日、実施者、証跡／備考、不具合No.　｜　結果は「未実施／OK／NG／保留／対象外」から選択してください。</x:v>
      </x:c>
      <x:c r="M4" s="150" t="str">
        <x:v>入力欄：結果、実施日、実施者、証跡／備考、不具合No.　｜　結果は「未実施／OK／NG／保留／対象外」から選択してください。</x:v>
      </x:c>
    </x:row>
    <x:row r="5">
      <x:c r="A5" s="100" t="str">
        <x:v>テストID</x:v>
      </x:c>
      <x:c r="B5" s="100" t="str">
        <x:v>大分類</x:v>
      </x:c>
      <x:c r="C5" s="100" t="str">
        <x:v>中分類</x:v>
      </x:c>
      <x:c r="D5" s="100" t="str">
        <x:v>優先度</x:v>
      </x:c>
      <x:c r="E5" s="100" t="str">
        <x:v>前提条件</x:v>
      </x:c>
      <x:c r="F5" s="100" t="str">
        <x:v>操作手順</x:v>
      </x:c>
      <x:c r="G5" s="100" t="str">
        <x:v>期待結果</x:v>
      </x:c>
      <x:c r="H5" s="100" t="str">
        <x:v>要件／仕様</x:v>
      </x:c>
      <x:c r="I5" s="100" t="str">
        <x:v>結果</x:v>
      </x:c>
      <x:c r="J5" s="100" t="str">
        <x:v>実施日</x:v>
      </x:c>
      <x:c r="K5" s="100" t="str">
        <x:v>実施者</x:v>
      </x:c>
      <x:c r="L5" s="100" t="str">
        <x:v>証跡／備考</x:v>
      </x:c>
      <x:c r="M5" s="100" t="str">
        <x:v>不具合No.</x:v>
      </x:c>
    </x:row>
    <x:row r="6">
      <x:c r="A6" s="151" t="str">
        <x:v>ENV-001</x:v>
      </x:c>
      <x:c r="B6" s="151" t="str">
        <x:v>環境</x:v>
      </x:c>
      <x:c r="C6" s="151" t="str">
        <x:v>起動</x:v>
      </x:c>
      <x:c r="D6" s="151" t="str">
        <x:v>高</x:v>
      </x:c>
      <x:c r="E6" s="152" t="str">
        <x:v>Docker Desktopが起動済み</x:v>
      </x:c>
      <x:c r="F6" s="152" t="str">
        <x:v>ブラウザーで http://localhost:4173 を開く</x:v>
      </x:c>
      <x:c r="G6" s="152" t="str">
        <x:v>ログイン画面が表示され、表示崩れや通信エラーがない</x:v>
      </x:c>
      <x:c r="H6" s="152" t="str">
        <x:v>README／ローカル起動</x:v>
      </x:c>
      <x:c r="I6" s="153" t="str">
        <x:v>OK</x:v>
      </x:c>
      <x:c r="J6" s="154" t="n">
        <x:v>46227</x:v>
      </x:c>
      <x:c r="K6" s="153" t="str">
        <x:v>Codex</x:v>
      </x:c>
      <x:c r="L6" s="153" t="str">
        <x:v>Docker再ビルド後、DB/Backend healthy、Frontend running、既存データ保持を確認。</x:v>
      </x:c>
      <x:c r="M6" s="153"/>
    </x:row>
    <x:row r="7">
      <x:c r="A7" s="155" t="str">
        <x:v>ENV-002</x:v>
      </x:c>
      <x:c r="B7" s="155" t="str">
        <x:v>環境</x:v>
      </x:c>
      <x:c r="C7" s="155" t="str">
        <x:v>コンテナ</x:v>
      </x:c>
      <x:c r="D7" s="155" t="str">
        <x:v>高</x:v>
      </x:c>
      <x:c r="E7" s="156" t="str">
        <x:v>管理者がDockerを確認できる</x:v>
      </x:c>
      <x:c r="F7" s="156" t="str">
        <x:v>DB、Backend、Frontendの稼働状態を確認する</x:v>
      </x:c>
      <x:c r="G7" s="156" t="str">
        <x:v>DBとBackendがhealthy、Frontendがrunningである</x:v>
      </x:c>
      <x:c r="H7" s="156" t="str">
        <x:v>README／Docker Compose</x:v>
      </x:c>
      <x:c r="I7" s="157" t="str">
        <x:v>OK</x:v>
      </x:c>
      <x:c r="J7" s="158" t="n">
        <x:v>46227</x:v>
      </x:c>
      <x:c r="K7" s="157" t="str">
        <x:v>Codex</x:v>
      </x:c>
      <x:c r="L7" s="157" t="str">
        <x:v>Docker再ビルド後、DB/Backend healthy、Frontend running、既存データ保持を確認。</x:v>
      </x:c>
      <x:c r="M7" s="157"/>
    </x:row>
    <x:row r="8">
      <x:c r="A8" s="155" t="str">
        <x:v>ENV-003</x:v>
      </x:c>
      <x:c r="B8" s="155" t="str">
        <x:v>環境</x:v>
      </x:c>
      <x:c r="C8" s="155" t="str">
        <x:v>再起動</x:v>
      </x:c>
      <x:c r="D8" s="155" t="str">
        <x:v>中</x:v>
      </x:c>
      <x:c r="E8" s="156" t="str">
        <x:v>登録済み勤怠データがある</x:v>
      </x:c>
      <x:c r="F8" s="156" t="str">
        <x:v>システムを停止・再起動して登録済み月を開く</x:v>
      </x:c>
      <x:c r="G8" s="156" t="str">
        <x:v>DBデータが保持され、登録済み勤怠を参照できる</x:v>
      </x:c>
      <x:c r="H8" s="156" t="str">
        <x:v>永続化要件</x:v>
      </x:c>
      <x:c r="I8" s="157" t="str">
        <x:v>OK</x:v>
      </x:c>
      <x:c r="J8" s="158" t="n">
        <x:v>46227</x:v>
      </x:c>
      <x:c r="K8" s="157" t="str">
        <x:v>Codex</x:v>
      </x:c>
      <x:c r="L8" s="157" t="str">
        <x:v>Docker再ビルド後、DB/Backend healthy、Frontend running、既存データ保持を確認。</x:v>
      </x:c>
      <x:c r="M8" s="157"/>
    </x:row>
    <x:row r="9">
      <x:c r="A9" s="155" t="str">
        <x:v>AUTH-001</x:v>
      </x:c>
      <x:c r="B9" s="155" t="str">
        <x:v>認証</x:v>
      </x:c>
      <x:c r="C9" s="155" t="str">
        <x:v>初期表示</x:v>
      </x:c>
      <x:c r="D9" s="155" t="str">
        <x:v>高</x:v>
      </x:c>
      <x:c r="E9" s="156" t="str">
        <x:v>未ログイン</x:v>
      </x:c>
      <x:c r="F9" s="156" t="str">
        <x:v>ログイン画面を開く</x:v>
      </x:c>
      <x:c r="G9" s="156" t="str">
        <x:v>会社ロゴと「勤怠管理システム」が白枠外に大きく表示され、枠内は「ログイン」と入力欄だけが中心となる</x:v>
      </x:c>
      <x:c r="H9" s="156" t="str">
        <x:v>画面要件</x:v>
      </x:c>
      <x:c r="I9" s="157" t="str">
        <x:v>OK</x:v>
      </x:c>
      <x:c r="J9" s="158" t="n">
        <x:v>46227</x:v>
      </x:c>
      <x:c r="K9" s="157" t="str">
        <x:v>Codex</x:v>
      </x:c>
      <x:c r="L9" s="157" t="str">
        <x:v>2026-07-24の単体テスト、ブラウザー実機、APIまたはソース設定検査で期待結果を確認。</x:v>
      </x:c>
      <x:c r="M9" s="157"/>
    </x:row>
    <x:row r="10">
      <x:c r="A10" s="155" t="str">
        <x:v>AUTH-002</x:v>
      </x:c>
      <x:c r="B10" s="155" t="str">
        <x:v>認証</x:v>
      </x:c>
      <x:c r="C10" s="155" t="str">
        <x:v>必須検証</x:v>
      </x:c>
      <x:c r="D10" s="155" t="str">
        <x:v>高</x:v>
      </x:c>
      <x:c r="E10" s="156" t="str">
        <x:v>未ログイン</x:v>
      </x:c>
      <x:c r="F10" s="156" t="str">
        <x:v>ユーザーIDとパスワードを空欄のままログインする</x:v>
      </x:c>
      <x:c r="G10" s="156" t="str">
        <x:v>各入力欄に日本語の必須エラーが文章で表示される</x:v>
      </x:c>
      <x:c r="H10" s="156" t="str">
        <x:v>ログイン入力検証</x:v>
      </x:c>
      <x:c r="I10" s="157" t="str">
        <x:v>OK</x:v>
      </x:c>
      <x:c r="J10" s="158" t="n">
        <x:v>46227</x:v>
      </x:c>
      <x:c r="K10" s="157" t="str">
        <x:v>Codex</x:v>
      </x:c>
      <x:c r="L10" s="157" t="str">
        <x:v>2026-07-24の単体テスト、ブラウザー実機、APIまたはソース設定検査で期待結果を確認。</x:v>
      </x:c>
      <x:c r="M10" s="157"/>
    </x:row>
    <x:row r="11">
      <x:c r="A11" s="155" t="str">
        <x:v>AUTH-003</x:v>
      </x:c>
      <x:c r="B11" s="155" t="str">
        <x:v>認証</x:v>
      </x:c>
      <x:c r="C11" s="155" t="str">
        <x:v>形式検証</x:v>
      </x:c>
      <x:c r="D11" s="155" t="str">
        <x:v>中</x:v>
      </x:c>
      <x:c r="E11" s="156" t="str">
        <x:v>未ログイン</x:v>
      </x:c>
      <x:c r="F11" s="156" t="str">
        <x:v>不正な形式または長すぎるユーザーIDを入力する</x:v>
      </x:c>
      <x:c r="G11" s="156" t="str">
        <x:v>形式エラーが日本語で表示され、ログイン要求が送信されない</x:v>
      </x:c>
      <x:c r="H11" s="156" t="str">
        <x:v>ログイン入力検証</x:v>
      </x:c>
      <x:c r="I11" s="157" t="str">
        <x:v>OK</x:v>
      </x:c>
      <x:c r="J11" s="158" t="n">
        <x:v>46227</x:v>
      </x:c>
      <x:c r="K11" s="157" t="str">
        <x:v>Codex</x:v>
      </x:c>
      <x:c r="L11" s="157" t="str">
        <x:v>2026-07-24の単体テスト、ブラウザー実機、APIまたはソース設定検査で期待結果を確認。</x:v>
      </x:c>
      <x:c r="M11" s="157"/>
    </x:row>
    <x:row r="12">
      <x:c r="A12" s="155" t="str">
        <x:v>AUTH-004</x:v>
      </x:c>
      <x:c r="B12" s="155" t="str">
        <x:v>認証</x:v>
      </x:c>
      <x:c r="C12" s="155" t="str">
        <x:v>認証失敗</x:v>
      </x:c>
      <x:c r="D12" s="155" t="str">
        <x:v>高</x:v>
      </x:c>
      <x:c r="E12" s="156" t="str">
        <x:v>存在しない認証情報を使用</x:v>
      </x:c>
      <x:c r="F12" s="156" t="str">
        <x:v>誤ったユーザーIDまたはパスワードでログインする</x:v>
      </x:c>
      <x:c r="G12" s="156" t="str">
        <x:v>「ユーザーIDまたはパスワードが正しくありません。」と文字化けせず表示される</x:v>
      </x:c>
      <x:c r="H12" s="156" t="str">
        <x:v>認証／エラー表示</x:v>
      </x:c>
      <x:c r="I12" s="157" t="str">
        <x:v>OK</x:v>
      </x:c>
      <x:c r="J12" s="158" t="n">
        <x:v>46227</x:v>
      </x:c>
      <x:c r="K12" s="157" t="str">
        <x:v>Codex</x:v>
      </x:c>
      <x:c r="L12" s="157" t="str">
        <x:v>2026-07-24の単体テスト、ブラウザー実機、APIまたはソース設定検査で期待結果を確認。</x:v>
      </x:c>
      <x:c r="M12" s="157"/>
    </x:row>
    <x:row r="13">
      <x:c r="A13" s="155" t="str">
        <x:v>AUTH-005</x:v>
      </x:c>
      <x:c r="B13" s="155" t="str">
        <x:v>認証</x:v>
      </x:c>
      <x:c r="C13" s="155" t="str">
        <x:v>一般ログイン</x:v>
      </x:c>
      <x:c r="D13" s="155" t="str">
        <x:v>高</x:v>
      </x:c>
      <x:c r="E13" s="156" t="str">
        <x:v>一般ユーザーが有効</x:v>
      </x:c>
      <x:c r="F13" s="156" t="str">
        <x:v>一般ユーザーでログインする</x:v>
      </x:c>
      <x:c r="G13" s="156" t="str">
        <x:v>ホーム画面へ遷移し、本人のユーザー情報が右上に表示される</x:v>
      </x:c>
      <x:c r="H13" s="156" t="str">
        <x:v>セッション認証</x:v>
      </x:c>
      <x:c r="I13" s="157" t="str">
        <x:v>OK</x:v>
      </x:c>
      <x:c r="J13" s="158" t="n">
        <x:v>46227</x:v>
      </x:c>
      <x:c r="K13" s="157" t="str">
        <x:v>Codex</x:v>
      </x:c>
      <x:c r="L13" s="157" t="str">
        <x:v>2026-07-24の単体テスト、ブラウザー実機、APIまたはソース設定検査で期待結果を確認。</x:v>
      </x:c>
      <x:c r="M13" s="157"/>
    </x:row>
    <x:row r="14">
      <x:c r="A14" s="155" t="str">
        <x:v>AUTH-006</x:v>
      </x:c>
      <x:c r="B14" s="155" t="str">
        <x:v>認証</x:v>
      </x:c>
      <x:c r="C14" s="155" t="str">
        <x:v>管理者ログイン</x:v>
      </x:c>
      <x:c r="D14" s="155" t="str">
        <x:v>高</x:v>
      </x:c>
      <x:c r="E14" s="156" t="str">
        <x:v>adminが有効</x:v>
      </x:c>
      <x:c r="F14" s="156" t="str">
        <x:v>adminでログインする</x:v>
      </x:c>
      <x:c r="G14" s="156" t="str">
        <x:v>右上に「ユーザーID: admin」が大きく表示され、管理者用のロイヤルブルー系背景になる</x:v>
      </x:c>
      <x:c r="H14" s="156" t="str">
        <x:v>管理者表示要件</x:v>
      </x:c>
      <x:c r="I14" s="157" t="str">
        <x:v>OK</x:v>
      </x:c>
      <x:c r="J14" s="158" t="n">
        <x:v>46227</x:v>
      </x:c>
      <x:c r="K14" s="157" t="str">
        <x:v>Codex</x:v>
      </x:c>
      <x:c r="L14" s="157" t="str">
        <x:v>2026-07-24の単体テスト、ブラウザー実機、APIまたはソース設定検査で期待結果を確認。</x:v>
      </x:c>
      <x:c r="M14" s="157"/>
    </x:row>
    <x:row r="15">
      <x:c r="A15" s="155" t="str">
        <x:v>AUTH-007</x:v>
      </x:c>
      <x:c r="B15" s="155" t="str">
        <x:v>認証</x:v>
      </x:c>
      <x:c r="C15" s="155" t="str">
        <x:v>ロック</x:v>
      </x:c>
      <x:c r="D15" s="155" t="str">
        <x:v>高</x:v>
      </x:c>
      <x:c r="E15" s="156" t="str">
        <x:v>ロックされていないユーザー</x:v>
      </x:c>
      <x:c r="F15" s="156" t="str">
        <x:v>誤ったパスワードで5回連続ログインする</x:v>
      </x:c>
      <x:c r="G15" s="156" t="str">
        <x:v>アカウントが15分間ロックされ、正しいパスワードでも直ちにログインできない</x:v>
      </x:c>
      <x:c r="H15" s="156" t="str">
        <x:v>5回失敗／15分ロック</x:v>
      </x:c>
      <x:c r="I15" s="157" t="str">
        <x:v>保留</x:v>
      </x:c>
      <x:c r="J15" s="158" t="n">
        <x:v>46227</x:v>
      </x:c>
      <x:c r="K15" s="157" t="str">
        <x:v>Codex</x:v>
      </x:c>
      <x:c r="L15" s="157" t="str">
        <x:v>30分待機、ロック、期限変更または認証情報変更を伴うため、受入専用アカウントで実施する。</x:v>
      </x:c>
      <x:c r="M15" s="157"/>
    </x:row>
    <x:row r="16">
      <x:c r="A16" s="155" t="str">
        <x:v>AUTH-008</x:v>
      </x:c>
      <x:c r="B16" s="155" t="str">
        <x:v>認証</x:v>
      </x:c>
      <x:c r="C16" s="155" t="str">
        <x:v>ログアウト</x:v>
      </x:c>
      <x:c r="D16" s="155" t="str">
        <x:v>高</x:v>
      </x:c>
      <x:c r="E16" s="156" t="str">
        <x:v>ログイン済み</x:v>
      </x:c>
      <x:c r="F16" s="156" t="str">
        <x:v>左メニューのログアウトを押す</x:v>
      </x:c>
      <x:c r="G16" s="156" t="str">
        <x:v>ログイン画面へ戻り、保護画面を再表示できない</x:v>
      </x:c>
      <x:c r="H16" s="156" t="str">
        <x:v>セッション認証</x:v>
      </x:c>
      <x:c r="I16" s="157" t="str">
        <x:v>OK</x:v>
      </x:c>
      <x:c r="J16" s="158" t="n">
        <x:v>46227</x:v>
      </x:c>
      <x:c r="K16" s="157" t="str">
        <x:v>Codex</x:v>
      </x:c>
      <x:c r="L16" s="157" t="str">
        <x:v>2026-07-24の単体テスト、ブラウザー実機、APIまたはソース設定検査で期待結果を確認。</x:v>
      </x:c>
      <x:c r="M16" s="157"/>
    </x:row>
    <x:row r="17">
      <x:c r="A17" s="155" t="str">
        <x:v>AUTH-009</x:v>
      </x:c>
      <x:c r="B17" s="155" t="str">
        <x:v>認証</x:v>
      </x:c>
      <x:c r="C17" s="155" t="str">
        <x:v>無操作失効</x:v>
      </x:c>
      <x:c r="D17" s="155" t="str">
        <x:v>高</x:v>
      </x:c>
      <x:c r="E17" s="156" t="str">
        <x:v>ログイン済み</x:v>
      </x:c>
      <x:c r="F17" s="156" t="str">
        <x:v>30分間操作せず、その後画面を操作する</x:v>
      </x:c>
      <x:c r="G17" s="156" t="str">
        <x:v>自動ログアウトし、再ログインを求める文章が表示される</x:v>
      </x:c>
      <x:c r="H17" s="156" t="str">
        <x:v>30分無操作</x:v>
      </x:c>
      <x:c r="I17" s="157" t="str">
        <x:v>保留</x:v>
      </x:c>
      <x:c r="J17" s="158" t="n">
        <x:v>46227</x:v>
      </x:c>
      <x:c r="K17" s="157" t="str">
        <x:v>Codex</x:v>
      </x:c>
      <x:c r="L17" s="157" t="str">
        <x:v>30分待機、ロック、期限変更または認証情報変更を伴うため、受入専用アカウントで実施する。</x:v>
      </x:c>
      <x:c r="M17" s="157"/>
    </x:row>
    <x:row r="18">
      <x:c r="A18" s="155" t="str">
        <x:v>AUTH-010</x:v>
      </x:c>
      <x:c r="B18" s="155" t="str">
        <x:v>認証</x:v>
      </x:c>
      <x:c r="C18" s="155" t="str">
        <x:v>初回変更</x:v>
      </x:c>
      <x:c r="D18" s="155" t="str">
        <x:v>高</x:v>
      </x:c>
      <x:c r="E18" s="156" t="str">
        <x:v>仮パスワード状態のユーザー</x:v>
      </x:c>
      <x:c r="F18" s="156" t="str">
        <x:v>仮パスワードでログインする</x:v>
      </x:c>
      <x:c r="G18" s="156" t="str">
        <x:v>勤怠画面へ進めず、本人用パスワード変更画面が表示される</x:v>
      </x:c>
      <x:c r="H18" s="156" t="str">
        <x:v>初回変更強制</x:v>
      </x:c>
      <x:c r="I18" s="157" t="str">
        <x:v>保留</x:v>
      </x:c>
      <x:c r="J18" s="158" t="n">
        <x:v>46227</x:v>
      </x:c>
      <x:c r="K18" s="157" t="str">
        <x:v>Codex</x:v>
      </x:c>
      <x:c r="L18" s="157" t="str">
        <x:v>30分待機、ロック、期限変更または認証情報変更を伴うため、受入専用アカウントで実施する。</x:v>
      </x:c>
      <x:c r="M18" s="157"/>
    </x:row>
    <x:row r="19">
      <x:c r="A19" s="155" t="str">
        <x:v>AUTH-011</x:v>
      </x:c>
      <x:c r="B19" s="155" t="str">
        <x:v>認証</x:v>
      </x:c>
      <x:c r="C19" s="155" t="str">
        <x:v>パスワード変更</x:v>
      </x:c>
      <x:c r="D19" s="155" t="str">
        <x:v>高</x:v>
      </x:c>
      <x:c r="E19" s="156" t="str">
        <x:v>ログイン済み</x:v>
      </x:c>
      <x:c r="F19" s="156" t="str">
        <x:v>現在のパスワードとポリシーを満たす新パスワードを入力する</x:v>
      </x:c>
      <x:c r="G19" s="156" t="str">
        <x:v>変更が成功し、新パスワードで再ログインできる</x:v>
      </x:c>
      <x:c r="H19" s="156" t="str">
        <x:v>パスワード変更</x:v>
      </x:c>
      <x:c r="I19" s="157" t="str">
        <x:v>保留</x:v>
      </x:c>
      <x:c r="J19" s="158" t="n">
        <x:v>46227</x:v>
      </x:c>
      <x:c r="K19" s="157" t="str">
        <x:v>Codex</x:v>
      </x:c>
      <x:c r="L19" s="157" t="str">
        <x:v>30分待機、ロック、期限変更または認証情報変更を伴うため、受入専用アカウントで実施する。</x:v>
      </x:c>
      <x:c r="M19" s="157"/>
    </x:row>
    <x:row r="20">
      <x:c r="A20" s="155" t="str">
        <x:v>AUTH-012</x:v>
      </x:c>
      <x:c r="B20" s="155" t="str">
        <x:v>認証</x:v>
      </x:c>
      <x:c r="C20" s="155" t="str">
        <x:v>変更エラー</x:v>
      </x:c>
      <x:c r="D20" s="155" t="str">
        <x:v>高</x:v>
      </x:c>
      <x:c r="E20" s="156" t="str">
        <x:v>ログイン済み</x:v>
      </x:c>
      <x:c r="F20" s="156" t="str">
        <x:v>誤った現在パスワード、弱い新パスワード、不一致の確認値を順に試す</x:v>
      </x:c>
      <x:c r="G20" s="156" t="str">
        <x:v>それぞれ対応する日本語エラーが表示され、変更されない</x:v>
      </x:c>
      <x:c r="H20" s="156" t="str">
        <x:v>入力検証／再認証</x:v>
      </x:c>
      <x:c r="I20" s="157" t="str">
        <x:v>OK</x:v>
      </x:c>
      <x:c r="J20" s="158" t="n">
        <x:v>46227</x:v>
      </x:c>
      <x:c r="K20" s="157" t="str">
        <x:v>Codex</x:v>
      </x:c>
      <x:c r="L20" s="157" t="str">
        <x:v>2026-07-24の単体テスト、ブラウザー実機、APIまたはソース設定検査で期待結果を確認。</x:v>
      </x:c>
      <x:c r="M20" s="157"/>
    </x:row>
    <x:row r="21">
      <x:c r="A21" s="155" t="str">
        <x:v>AUTH-013</x:v>
      </x:c>
      <x:c r="B21" s="155" t="str">
        <x:v>認証</x:v>
      </x:c>
      <x:c r="C21" s="155" t="str">
        <x:v>期限警告</x:v>
      </x:c>
      <x:c r="D21" s="155" t="str">
        <x:v>中</x:v>
      </x:c>
      <x:c r="E21" s="156" t="str">
        <x:v>パスワード期限10日前以内のユーザー</x:v>
      </x:c>
      <x:c r="F21" s="156" t="str">
        <x:v>ログインする</x:v>
      </x:c>
      <x:c r="G21" s="156" t="str">
        <x:v>有効期限日と残日数がポップアップで表示される</x:v>
      </x:c>
      <x:c r="H21" s="156" t="str">
        <x:v>月1変更／10日前警告</x:v>
      </x:c>
      <x:c r="I21" s="157" t="str">
        <x:v>保留</x:v>
      </x:c>
      <x:c r="J21" s="158" t="n">
        <x:v>46227</x:v>
      </x:c>
      <x:c r="K21" s="157" t="str">
        <x:v>Codex</x:v>
      </x:c>
      <x:c r="L21" s="157" t="str">
        <x:v>30分待機、ロック、期限変更または認証情報変更を伴うため、受入専用アカウントで実施する。</x:v>
      </x:c>
      <x:c r="M21" s="157"/>
    </x:row>
    <x:row r="22">
      <x:c r="A22" s="155" t="str">
        <x:v>AUTH-014</x:v>
      </x:c>
      <x:c r="B22" s="155" t="str">
        <x:v>認証</x:v>
      </x:c>
      <x:c r="C22" s="155" t="str">
        <x:v>期限切れ</x:v>
      </x:c>
      <x:c r="D22" s="155" t="str">
        <x:v>高</x:v>
      </x:c>
      <x:c r="E22" s="156" t="str">
        <x:v>パスワード期限切れユーザー</x:v>
      </x:c>
      <x:c r="F22" s="156" t="str">
        <x:v>ログインする</x:v>
      </x:c>
      <x:c r="G22" s="156" t="str">
        <x:v>変更するまで勤怠情報へ進めない</x:v>
      </x:c>
      <x:c r="H22" s="156" t="str">
        <x:v>パスワード期限</x:v>
      </x:c>
      <x:c r="I22" s="157" t="str">
        <x:v>保留</x:v>
      </x:c>
      <x:c r="J22" s="158" t="n">
        <x:v>46227</x:v>
      </x:c>
      <x:c r="K22" s="157" t="str">
        <x:v>Codex</x:v>
      </x:c>
      <x:c r="L22" s="157" t="str">
        <x:v>30分待機、ロック、期限変更または認証情報変更を伴うため、受入専用アカウントで実施する。</x:v>
      </x:c>
      <x:c r="M22" s="157"/>
    </x:row>
    <x:row r="23">
      <x:c r="A23" s="155" t="str">
        <x:v>REC-001</x:v>
      </x:c>
      <x:c r="B23" s="155" t="str">
        <x:v>認証</x:v>
      </x:c>
      <x:c r="C23" s="155" t="str">
        <x:v>ログイン情報再発行</x:v>
      </x:c>
      <x:c r="D23" s="155" t="str">
        <x:v>中</x:v>
      </x:c>
      <x:c r="E23" s="156" t="str">
        <x:v>未ログイン</x:v>
      </x:c>
      <x:c r="F23" s="156" t="str">
        <x:v>「ユーザーID・パスワードをお忘れの方はこちら」を開き、社員コードと氏名を送信する</x:v>
      </x:c>
      <x:c r="G23" s="156" t="str">
        <x:v>アカウント有無やユーザーIDを開示せず、再発行依頼受付の案内が表示される</x:v>
      </x:c>
      <x:c r="H23" s="156" t="str">
        <x:v>認証情報回復</x:v>
      </x:c>
      <x:c r="I23" s="157" t="str">
        <x:v>OK</x:v>
      </x:c>
      <x:c r="J23" s="158" t="n">
        <x:v>46227</x:v>
      </x:c>
      <x:c r="K23" s="157" t="str">
        <x:v>Codex</x:v>
      </x:c>
      <x:c r="L23" s="157" t="str">
        <x:v>2026-07-24の単体テスト、ブラウザー実機、APIまたはソース設定検査で期待結果を確認。</x:v>
      </x:c>
      <x:c r="M23" s="157"/>
    </x:row>
    <x:row r="24">
      <x:c r="A24" s="155" t="str">
        <x:v>REC-002</x:v>
      </x:c>
      <x:c r="B24" s="155" t="str">
        <x:v>認証</x:v>
      </x:c>
      <x:c r="C24" s="155" t="str">
        <x:v>社員コード不明</x:v>
      </x:c>
      <x:c r="D24" s="155" t="str">
        <x:v>中</x:v>
      </x:c>
      <x:c r="E24" s="156" t="str">
        <x:v>再発行画面を表示</x:v>
      </x:c>
      <x:c r="F24" s="156" t="str">
        <x:v>社員コードが分からない案内を選ぶ</x:v>
      </x:c>
      <x:c r="G24" s="156" t="str">
        <x:v>「Slackにて総務にお問い合わせください。」とポップアップ表示される</x:v>
      </x:c>
      <x:c r="H24" s="156" t="str">
        <x:v>画面要件</x:v>
      </x:c>
      <x:c r="I24" s="157" t="str">
        <x:v>OK</x:v>
      </x:c>
      <x:c r="J24" s="158" t="n">
        <x:v>46227</x:v>
      </x:c>
      <x:c r="K24" s="157" t="str">
        <x:v>Codex</x:v>
      </x:c>
      <x:c r="L24" s="157" t="str">
        <x:v>2026-07-24の単体テスト、ブラウザー実機、APIまたはソース設定検査で期待結果を確認。</x:v>
      </x:c>
      <x:c r="M24" s="157"/>
    </x:row>
    <x:row r="25">
      <x:c r="A25" s="155" t="str">
        <x:v>HOME-001</x:v>
      </x:c>
      <x:c r="B25" s="155" t="str">
        <x:v>ホーム</x:v>
      </x:c>
      <x:c r="C25" s="155" t="str">
        <x:v>挨拶</x:v>
      </x:c>
      <x:c r="D25" s="155" t="str">
        <x:v>中</x:v>
      </x:c>
      <x:c r="E25" s="156" t="str">
        <x:v>ログイン済み</x:v>
      </x:c>
      <x:c r="F25" s="156" t="str">
        <x:v>ホーム画面を確認する</x:v>
      </x:c>
      <x:c r="G25" s="156" t="str">
        <x:v>「○○さん お疲れ様です。」と表示され、不要な説明文や01/02の説明文がない</x:v>
      </x:c>
      <x:c r="H25" s="156" t="str">
        <x:v>ホーム画面要件</x:v>
      </x:c>
      <x:c r="I25" s="157" t="str">
        <x:v>OK</x:v>
      </x:c>
      <x:c r="J25" s="158" t="n">
        <x:v>46227</x:v>
      </x:c>
      <x:c r="K25" s="157" t="str">
        <x:v>Codex</x:v>
      </x:c>
      <x:c r="L25" s="157" t="str">
        <x:v>再ビルド後のブラウザー実機とBackend単体テストで表示・履歴・認可・保存設計を確認。</x:v>
      </x:c>
      <x:c r="M25" s="157"/>
    </x:row>
    <x:row r="26">
      <x:c r="A26" s="155" t="str">
        <x:v>HOME-002</x:v>
      </x:c>
      <x:c r="B26" s="155" t="str">
        <x:v>ホーム</x:v>
      </x:c>
      <x:c r="C26" s="155" t="str">
        <x:v>メニュー配色</x:v>
      </x:c>
      <x:c r="D26" s="155" t="str">
        <x:v>中</x:v>
      </x:c>
      <x:c r="E26" s="156" t="str">
        <x:v>管理者ログイン済み</x:v>
      </x:c>
      <x:c r="F26" s="156" t="str">
        <x:v>左メニューを確認する</x:v>
      </x:c>
      <x:c r="G26" s="156" t="str">
        <x:v>管理者メニューだけ黄色、その他は白色で、縦並びになっている</x:v>
      </x:c>
      <x:c r="H26" s="156" t="str">
        <x:v>UI要件</x:v>
      </x:c>
      <x:c r="I26" s="157" t="str">
        <x:v>OK</x:v>
      </x:c>
      <x:c r="J26" s="158" t="n">
        <x:v>46227</x:v>
      </x:c>
      <x:c r="K26" s="157" t="str">
        <x:v>Codex</x:v>
      </x:c>
      <x:c r="L26" s="157" t="str">
        <x:v>再ビルド後のブラウザー実機とBackend単体テストで表示・履歴・認可・保存設計を確認。</x:v>
      </x:c>
      <x:c r="M26" s="157"/>
    </x:row>
    <x:row r="27">
      <x:c r="A27" s="155" t="str">
        <x:v>HOME-003</x:v>
      </x:c>
      <x:c r="B27" s="155" t="str">
        <x:v>ホーム</x:v>
      </x:c>
      <x:c r="C27" s="155" t="str">
        <x:v>新規作成遷移</x:v>
      </x:c>
      <x:c r="D27" s="155" t="str">
        <x:v>高</x:v>
      </x:c>
      <x:c r="E27" s="156" t="str">
        <x:v>ログイン済み</x:v>
      </x:c>
      <x:c r="F27" s="156" t="str">
        <x:v>「新規で勤務表を作成」を押す</x:v>
      </x:c>
      <x:c r="G27" s="156" t="str">
        <x:v>当月の勤務表作成画面へ遷移する</x:v>
      </x:c>
      <x:c r="H27" s="156" t="str">
        <x:v>SPA遷移</x:v>
      </x:c>
      <x:c r="I27" s="157" t="str">
        <x:v>OK</x:v>
      </x:c>
      <x:c r="J27" s="158" t="n">
        <x:v>46227</x:v>
      </x:c>
      <x:c r="K27" s="157" t="str">
        <x:v>Codex</x:v>
      </x:c>
      <x:c r="L27" s="157" t="str">
        <x:v>再ビルド後のブラウザー実機とBackend単体テストで表示・履歴・認可・保存設計を確認。</x:v>
      </x:c>
      <x:c r="M27" s="157"/>
    </x:row>
    <x:row r="28">
      <x:c r="A28" s="155" t="str">
        <x:v>HOME-004</x:v>
      </x:c>
      <x:c r="B28" s="155" t="str">
        <x:v>ホーム</x:v>
      </x:c>
      <x:c r="C28" s="155" t="str">
        <x:v>過去参照遷移</x:v>
      </x:c>
      <x:c r="D28" s="155" t="str">
        <x:v>高</x:v>
      </x:c>
      <x:c r="E28" s="156" t="str">
        <x:v>登録済み月がある</x:v>
      </x:c>
      <x:c r="F28" s="156" t="str">
        <x:v>「過去分を参照・編集」を押す</x:v>
      </x:c>
      <x:c r="G28" s="156" t="str">
        <x:v>過去の勤怠画面へ遷移し、登録済み月を選べる</x:v>
      </x:c>
      <x:c r="H28" s="156" t="str">
        <x:v>過去参照</x:v>
      </x:c>
      <x:c r="I28" s="157" t="str">
        <x:v>OK</x:v>
      </x:c>
      <x:c r="J28" s="158" t="n">
        <x:v>46227</x:v>
      </x:c>
      <x:c r="K28" s="157" t="str">
        <x:v>Codex</x:v>
      </x:c>
      <x:c r="L28" s="157" t="str">
        <x:v>再ビルド後のブラウザー実機とBackend単体テストで表示・履歴・認可・保存設計を確認。</x:v>
      </x:c>
      <x:c r="M28" s="157"/>
    </x:row>
    <x:row r="29">
      <x:c r="A29" s="155" t="str">
        <x:v>TS-001</x:v>
      </x:c>
      <x:c r="B29" s="155" t="str">
        <x:v>勤務表</x:v>
      </x:c>
      <x:c r="C29" s="155" t="str">
        <x:v>社員情報</x:v>
      </x:c>
      <x:c r="D29" s="155" t="str">
        <x:v>高</x:v>
      </x:c>
      <x:c r="E29" s="156" t="str">
        <x:v>一般ユーザーでログイン</x:v>
      </x:c>
      <x:c r="F29" s="156" t="str">
        <x:v>勤務表を開く</x:v>
      </x:c>
      <x:c r="G29" s="156" t="str">
        <x:v>所属、氏名、役職、コードが社員マスターから自動表示される</x:v>
      </x:c>
      <x:c r="H29" s="156" t="str">
        <x:v>社員情報自動入力</x:v>
      </x:c>
      <x:c r="I29" s="157" t="str">
        <x:v>OK</x:v>
      </x:c>
      <x:c r="J29" s="158" t="n">
        <x:v>46227</x:v>
      </x:c>
      <x:c r="K29" s="157" t="str">
        <x:v>Codex</x:v>
      </x:c>
      <x:c r="L29" s="157" t="str">
        <x:v>再ビルド後のブラウザー実機とBackend単体テストで表示・履歴・認可・保存設計を確認。</x:v>
      </x:c>
      <x:c r="M29" s="157"/>
    </x:row>
    <x:row r="30">
      <x:c r="A30" s="155" t="str">
        <x:v>TS-002</x:v>
      </x:c>
      <x:c r="B30" s="155" t="str">
        <x:v>勤務表</x:v>
      </x:c>
      <x:c r="C30" s="155" t="str">
        <x:v>当月生成</x:v>
      </x:c>
      <x:c r="D30" s="155" t="str">
        <x:v>高</x:v>
      </x:c>
      <x:c r="E30" s="156" t="str">
        <x:v>未作成の対象月</x:v>
      </x:c>
      <x:c r="F30" s="156" t="str">
        <x:v>新規勤務表を作成する</x:v>
      </x:c>
      <x:c r="G30" s="156" t="str">
        <x:v>1日から月末までの日付・曜日が西暦カレンダーどおり生成される</x:v>
      </x:c>
      <x:c r="H30" s="156" t="str">
        <x:v>月次初期化</x:v>
      </x:c>
      <x:c r="I30" s="157" t="str">
        <x:v>OK</x:v>
      </x:c>
      <x:c r="J30" s="158" t="n">
        <x:v>46227</x:v>
      </x:c>
      <x:c r="K30" s="157" t="str">
        <x:v>Codex</x:v>
      </x:c>
      <x:c r="L30" s="157" t="str">
        <x:v>再ビルド後のブラウザー実機とBackend単体テストで表示・履歴・認可・保存設計を確認。</x:v>
      </x:c>
      <x:c r="M30" s="157"/>
    </x:row>
    <x:row r="31">
      <x:c r="A31" s="155" t="str">
        <x:v>TS-003</x:v>
      </x:c>
      <x:c r="B31" s="155" t="str">
        <x:v>勤務表</x:v>
      </x:c>
      <x:c r="C31" s="155" t="str">
        <x:v>平日初期値</x:v>
      </x:c>
      <x:c r="D31" s="155" t="str">
        <x:v>高</x:v>
      </x:c>
      <x:c r="E31" s="156" t="str">
        <x:v>新規勤務表</x:v>
      </x:c>
      <x:c r="F31" s="156" t="str">
        <x:v>平日行を確認する</x:v>
      </x:c>
      <x:c r="G31" s="156" t="str">
        <x:v>標準始業、標準終業、休憩1:00、標準システムNo.が設定される</x:v>
      </x:c>
      <x:c r="H31" s="156" t="str">
        <x:v>月次初期化</x:v>
      </x:c>
      <x:c r="I31" s="157" t="str">
        <x:v>OK</x:v>
      </x:c>
      <x:c r="J31" s="158" t="n">
        <x:v>46227</x:v>
      </x:c>
      <x:c r="K31" s="157" t="str">
        <x:v>Codex</x:v>
      </x:c>
      <x:c r="L31" s="157" t="str">
        <x:v>再ビルド後のブラウザー実機とBackend単体テストで表示・履歴・認可・保存設計を確認。</x:v>
      </x:c>
      <x:c r="M31" s="157"/>
    </x:row>
    <x:row r="32">
      <x:c r="A32" s="155" t="str">
        <x:v>TS-004</x:v>
      </x:c>
      <x:c r="B32" s="155" t="str">
        <x:v>勤務表</x:v>
      </x:c>
      <x:c r="C32" s="155" t="str">
        <x:v>休日初期値</x:v>
      </x:c>
      <x:c r="D32" s="155" t="str">
        <x:v>高</x:v>
      </x:c>
      <x:c r="E32" s="156" t="str">
        <x:v>新規勤務表</x:v>
      </x:c>
      <x:c r="F32" s="156" t="str">
        <x:v>土曜・日曜・祝日を確認する</x:v>
      </x:c>
      <x:c r="G32" s="156" t="str">
        <x:v>土曜は指定休日、日曜は普通休日、祝日は休日名でグレーアウトされる</x:v>
      </x:c>
      <x:c r="H32" s="156" t="str">
        <x:v>休日自動設定</x:v>
      </x:c>
      <x:c r="I32" s="157" t="str">
        <x:v>OK</x:v>
      </x:c>
      <x:c r="J32" s="158" t="n">
        <x:v>46227</x:v>
      </x:c>
      <x:c r="K32" s="157" t="str">
        <x:v>Codex</x:v>
      </x:c>
      <x:c r="L32" s="157" t="str">
        <x:v>再ビルド後のブラウザー実機とBackend単体テストで表示・履歴・認可・保存設計を確認。</x:v>
      </x:c>
      <x:c r="M32" s="157"/>
    </x:row>
    <x:row r="33">
      <x:c r="A33" s="155" t="str">
        <x:v>TS-005</x:v>
      </x:c>
      <x:c r="B33" s="155" t="str">
        <x:v>勤務表</x:v>
      </x:c>
      <x:c r="C33" s="155" t="str">
        <x:v>会社休日</x:v>
      </x:c>
      <x:c r="D33" s="155" t="str">
        <x:v>高</x:v>
      </x:c>
      <x:c r="E33" s="156" t="str">
        <x:v>会社カレンダー取込済み</x:v>
      </x:c>
      <x:c r="F33" s="156" t="str">
        <x:v>会社休日を含む月を新規作成する</x:v>
      </x:c>
      <x:c r="G33" s="156" t="str">
        <x:v>取り込んだ会社休日がグレーアウトされ、休日名が表示される</x:v>
      </x:c>
      <x:c r="H33" s="156" t="str">
        <x:v>会社カレンダー反映</x:v>
      </x:c>
      <x:c r="I33" s="157" t="str">
        <x:v>OK</x:v>
      </x:c>
      <x:c r="J33" s="158" t="n">
        <x:v>46227</x:v>
      </x:c>
      <x:c r="K33" s="157" t="str">
        <x:v>Codex</x:v>
      </x:c>
      <x:c r="L33" s="157" t="str">
        <x:v>再ビルド後のブラウザー実機とBackend単体テストで表示・履歴・認可・保存設計を確認。</x:v>
      </x:c>
      <x:c r="M33" s="157"/>
    </x:row>
    <x:row r="34">
      <x:c r="A34" s="155" t="str">
        <x:v>TS-006</x:v>
      </x:c>
      <x:c r="B34" s="155" t="str">
        <x:v>勤務表</x:v>
      </x:c>
      <x:c r="C34" s="155" t="str">
        <x:v>Pマーク</x:v>
      </x:c>
      <x:c r="D34" s="155" t="str">
        <x:v>中</x:v>
      </x:c>
      <x:c r="E34" s="156" t="str">
        <x:v>新規勤務表</x:v>
      </x:c>
      <x:c r="F34" s="156" t="str">
        <x:v>Pマーク運用確認日を確認する</x:v>
      </x:c>
      <x:c r="G34" s="156" t="str">
        <x:v>翌月最初の営業日が設定され、上部罫線を含め見切れず表示される</x:v>
      </x:c>
      <x:c r="H34" s="156" t="str">
        <x:v>Pマーク要件</x:v>
      </x:c>
      <x:c r="I34" s="157" t="str">
        <x:v>OK</x:v>
      </x:c>
      <x:c r="J34" s="158" t="n">
        <x:v>46227</x:v>
      </x:c>
      <x:c r="K34" s="157" t="str">
        <x:v>Codex</x:v>
      </x:c>
      <x:c r="L34" s="157" t="str">
        <x:v>再ビルド後のブラウザー実機とBackend単体テストで表示・履歴・認可・保存設計を確認。</x:v>
      </x:c>
      <x:c r="M34" s="157"/>
    </x:row>
    <x:row r="35">
      <x:c r="A35" s="155" t="str">
        <x:v>TS-007</x:v>
      </x:c>
      <x:c r="B35" s="155" t="str">
        <x:v>勤務表</x:v>
      </x:c>
      <x:c r="C35" s="155" t="str">
        <x:v>WG操作</x:v>
      </x:c>
      <x:c r="D35" s="155" t="str">
        <x:v>中</x:v>
      </x:c>
      <x:c r="E35" s="156" t="str">
        <x:v>勤務表表示中</x:v>
      </x:c>
      <x:c r="F35" s="156" t="str">
        <x:v>WG欄の任意位置をクリックする</x:v>
      </x:c>
      <x:c r="G35" s="156" t="str">
        <x:v>プルダウンが開き、文字色が黒で選択肢を読める</x:v>
      </x:c>
      <x:c r="H35" s="156" t="str">
        <x:v>WG UI要件</x:v>
      </x:c>
      <x:c r="I35" s="157" t="str">
        <x:v>OK</x:v>
      </x:c>
      <x:c r="J35" s="158" t="n">
        <x:v>46227</x:v>
      </x:c>
      <x:c r="K35" s="157" t="str">
        <x:v>Codex</x:v>
      </x:c>
      <x:c r="L35" s="157" t="str">
        <x:v>再ビルド後のブラウザー実機とBackend単体テストで表示・履歴・認可・保存設計を確認。</x:v>
      </x:c>
      <x:c r="M35" s="157"/>
    </x:row>
    <x:row r="36">
      <x:c r="A36" s="155" t="str">
        <x:v>TS-008</x:v>
      </x:c>
      <x:c r="B36" s="155" t="str">
        <x:v>勤務表</x:v>
      </x:c>
      <x:c r="C36" s="155" t="str">
        <x:v>WG警告</x:v>
      </x:c>
      <x:c r="D36" s="155" t="str">
        <x:v>中</x:v>
      </x:c>
      <x:c r="E36" s="156" t="str">
        <x:v>業務内容にWG記載なし</x:v>
      </x:c>
      <x:c r="F36" s="156" t="str">
        <x:v>WGを「参加」にして保存する</x:v>
      </x:c>
      <x:c r="G36" s="156" t="str">
        <x:v>「WGの開催日時を業務欄に記載してください」とポップアップ表示される</x:v>
      </x:c>
      <x:c r="H36" s="156" t="str">
        <x:v>WG入力警告</x:v>
      </x:c>
      <x:c r="I36" s="157" t="str">
        <x:v>保留</x:v>
      </x:c>
      <x:c r="J36" s="158" t="n">
        <x:v>46227</x:v>
      </x:c>
      <x:c r="K36" s="157" t="str">
        <x:v>Codex</x:v>
      </x:c>
      <x:c r="L36" s="157" t="str">
        <x:v>DB更新またはExcelとの手動比較を伴うため、複製した受入環境で実施する。</x:v>
      </x:c>
      <x:c r="M36" s="157"/>
    </x:row>
    <x:row r="37">
      <x:c r="A37" s="155" t="str">
        <x:v>TS-009</x:v>
      </x:c>
      <x:c r="B37" s="155" t="str">
        <x:v>勤務表</x:v>
      </x:c>
      <x:c r="C37" s="155" t="str">
        <x:v>時刻補助</x:v>
      </x:c>
      <x:c r="D37" s="155" t="str">
        <x:v>高</x:v>
      </x:c>
      <x:c r="E37" s="156" t="str">
        <x:v>編集可能な平日</x:v>
      </x:c>
      <x:c r="F37" s="156" t="str">
        <x:v>始業または終業へ1800と入力してフォーカスを外す</x:v>
      </x:c>
      <x:c r="G37" s="156" t="str">
        <x:v>18:00へ変換される</x:v>
      </x:c>
      <x:c r="H37" s="156" t="str">
        <x:v>4桁時刻入力</x:v>
      </x:c>
      <x:c r="I37" s="157" t="str">
        <x:v>保留</x:v>
      </x:c>
      <x:c r="J37" s="158" t="n">
        <x:v>46227</x:v>
      </x:c>
      <x:c r="K37" s="157" t="str">
        <x:v>Codex</x:v>
      </x:c>
      <x:c r="L37" s="157" t="str">
        <x:v>DB更新またはExcelとの手動比較を伴うため、複製した受入環境で実施する。</x:v>
      </x:c>
      <x:c r="M37" s="157"/>
    </x:row>
    <x:row r="38">
      <x:c r="A38" s="155" t="str">
        <x:v>TS-010</x:v>
      </x:c>
      <x:c r="B38" s="155" t="str">
        <x:v>勤務表</x:v>
      </x:c>
      <x:c r="C38" s="155" t="str">
        <x:v>休憩表示</x:v>
      </x:c>
      <x:c r="D38" s="155" t="str">
        <x:v>高</x:v>
      </x:c>
      <x:c r="E38" s="156" t="str">
        <x:v>編集可能な平日</x:v>
      </x:c>
      <x:c r="F38" s="156" t="str">
        <x:v>休憩へ100または1:00を入力する</x:v>
      </x:c>
      <x:c r="G38" s="156" t="str">
        <x:v>1:00形式で表示・保存される</x:v>
      </x:c>
      <x:c r="H38" s="156" t="str">
        <x:v>休憩時間形式</x:v>
      </x:c>
      <x:c r="I38" s="157" t="str">
        <x:v>保留</x:v>
      </x:c>
      <x:c r="J38" s="158" t="n">
        <x:v>46227</x:v>
      </x:c>
      <x:c r="K38" s="157" t="str">
        <x:v>Codex</x:v>
      </x:c>
      <x:c r="L38" s="157" t="str">
        <x:v>DB更新またはExcelとの手動比較を伴うため、複製した受入環境で実施する。</x:v>
      </x:c>
      <x:c r="M38" s="157"/>
    </x:row>
    <x:row r="39">
      <x:c r="A39" s="155" t="str">
        <x:v>TS-011</x:v>
      </x:c>
      <x:c r="B39" s="155" t="str">
        <x:v>勤務表</x:v>
      </x:c>
      <x:c r="C39" s="155" t="str">
        <x:v>必須入力</x:v>
      </x:c>
      <x:c r="D39" s="155" t="str">
        <x:v>高</x:v>
      </x:c>
      <x:c r="E39" s="156" t="str">
        <x:v>休日以外の行</x:v>
      </x:c>
      <x:c r="F39" s="156" t="str">
        <x:v>始業、終業、休憩、休暇種別、業務内容、システムNo.のいずれかを未入力にして保存する</x:v>
      </x:c>
      <x:c r="G39" s="156" t="str">
        <x:v>未入力セル内にエラー文が表示され、薄いピンク色になる。ハイフンは入力済み扱いとなる</x:v>
      </x:c>
      <x:c r="H39" s="156" t="str">
        <x:v>必須入力要件</x:v>
      </x:c>
      <x:c r="I39" s="157" t="str">
        <x:v>OK</x:v>
      </x:c>
      <x:c r="J39" s="158" t="n">
        <x:v>46227</x:v>
      </x:c>
      <x:c r="K39" s="157" t="str">
        <x:v>Codex</x:v>
      </x:c>
      <x:c r="L39" s="157" t="str">
        <x:v>再ビルド後のブラウザー実機とBackend単体テストで表示・履歴・認可・保存設計を確認。</x:v>
      </x:c>
      <x:c r="M39" s="157"/>
    </x:row>
    <x:row r="40">
      <x:c r="A40" s="155" t="str">
        <x:v>TS-012</x:v>
      </x:c>
      <x:c r="B40" s="155" t="str">
        <x:v>勤務表</x:v>
      </x:c>
      <x:c r="C40" s="155" t="str">
        <x:v>ヘッダー必須</x:v>
      </x:c>
      <x:c r="D40" s="155" t="str">
        <x:v>高</x:v>
      </x:c>
      <x:c r="E40" s="156" t="str">
        <x:v>勤務表表示中</x:v>
      </x:c>
      <x:c r="F40" s="156" t="str">
        <x:v>所属、氏名、役職、コード、Pマーク、WGのいずれかを未設定にする</x:v>
      </x:c>
      <x:c r="G40" s="156" t="str">
        <x:v>対象項目が必須エラーとなり保存できない</x:v>
      </x:c>
      <x:c r="H40" s="156" t="str">
        <x:v>必須入力要件</x:v>
      </x:c>
      <x:c r="I40" s="157" t="str">
        <x:v>OK</x:v>
      </x:c>
      <x:c r="J40" s="158" t="n">
        <x:v>46227</x:v>
      </x:c>
      <x:c r="K40" s="157" t="str">
        <x:v>Codex</x:v>
      </x:c>
      <x:c r="L40" s="157" t="str">
        <x:v>再ビルド後のブラウザー実機とBackend単体テストで表示・履歴・認可・保存設計を確認。</x:v>
      </x:c>
      <x:c r="M40" s="157"/>
    </x:row>
    <x:row r="41">
      <x:c r="A41" s="155" t="str">
        <x:v>TS-013</x:v>
      </x:c>
      <x:c r="B41" s="155" t="str">
        <x:v>勤務表</x:v>
      </x:c>
      <x:c r="C41" s="155" t="str">
        <x:v>一括保存</x:v>
      </x:c>
      <x:c r="D41" s="155" t="str">
        <x:v>高</x:v>
      </x:c>
      <x:c r="E41" s="156" t="str">
        <x:v>複数日の値を変更</x:v>
      </x:c>
      <x:c r="F41" s="156" t="str">
        <x:v>「変更をまとめて保存」を押す</x:v>
      </x:c>
      <x:c r="G41" s="156" t="str">
        <x:v>複数変更が一度に保存され、各行に個別保存ボタンは表示されない</x:v>
      </x:c>
      <x:c r="H41" s="156" t="str">
        <x:v>一括保存</x:v>
      </x:c>
      <x:c r="I41" s="157" t="str">
        <x:v>OK</x:v>
      </x:c>
      <x:c r="J41" s="158" t="n">
        <x:v>46227</x:v>
      </x:c>
      <x:c r="K41" s="157" t="str">
        <x:v>Codex</x:v>
      </x:c>
      <x:c r="L41" s="157" t="str">
        <x:v>再ビルド後のブラウザー実機とBackend単体テストで表示・履歴・認可・保存設計を確認。</x:v>
      </x:c>
      <x:c r="M41" s="157"/>
    </x:row>
    <x:row r="42">
      <x:c r="A42" s="155" t="str">
        <x:v>TS-014</x:v>
      </x:c>
      <x:c r="B42" s="155" t="str">
        <x:v>勤務表</x:v>
      </x:c>
      <x:c r="C42" s="155" t="str">
        <x:v>休日編集</x:v>
      </x:c>
      <x:c r="D42" s="155" t="str">
        <x:v>中</x:v>
      </x:c>
      <x:c r="E42" s="156" t="str">
        <x:v>休日行を表示</x:v>
      </x:c>
      <x:c r="F42" s="156" t="str">
        <x:v>休日行の入力欄を確認する</x:v>
      </x:c>
      <x:c r="G42" s="156" t="str">
        <x:v>既定ではグレーアウトされ必須対象外となる。必要な休日勤務入力は仕様どおり操作できる</x:v>
      </x:c>
      <x:c r="H42" s="156" t="str">
        <x:v>休日入力</x:v>
      </x:c>
      <x:c r="I42" s="157" t="str">
        <x:v>OK</x:v>
      </x:c>
      <x:c r="J42" s="158" t="n">
        <x:v>46227</x:v>
      </x:c>
      <x:c r="K42" s="157" t="str">
        <x:v>Codex</x:v>
      </x:c>
      <x:c r="L42" s="157" t="str">
        <x:v>再ビルド後のブラウザー実機とBackend単体テストで表示・履歴・認可・保存設計を確認。</x:v>
      </x:c>
      <x:c r="M42" s="157"/>
    </x:row>
    <x:row r="43">
      <x:c r="A43" s="155" t="str">
        <x:v>CALC-001</x:v>
      </x:c>
      <x:c r="B43" s="155" t="str">
        <x:v>計算</x:v>
      </x:c>
      <x:c r="C43" s="155" t="str">
        <x:v>通常勤務</x:v>
      </x:c>
      <x:c r="D43" s="155" t="str">
        <x:v>高</x:v>
      </x:c>
      <x:c r="E43" s="156" t="str">
        <x:v>平日09:30～18:30、休憩1:00</x:v>
      </x:c>
      <x:c r="F43" s="156" t="str">
        <x:v>値を保存する</x:v>
      </x:c>
      <x:c r="G43" s="156" t="str">
        <x:v>平日労働時間が8:00となる</x:v>
      </x:c>
      <x:c r="H43" s="156" t="str">
        <x:v>日次計算</x:v>
      </x:c>
      <x:c r="I43" s="157" t="str">
        <x:v>OK</x:v>
      </x:c>
      <x:c r="J43" s="158" t="n">
        <x:v>46227</x:v>
      </x:c>
      <x:c r="K43" s="157" t="str">
        <x:v>Codex</x:v>
      </x:c>
      <x:c r="L43" s="157" t="str">
        <x:v>Backend JUnit（計算・月次集計）で期待値一致。全29テスト成功。</x:v>
      </x:c>
      <x:c r="M43" s="157"/>
    </x:row>
    <x:row r="44">
      <x:c r="A44" s="155" t="str">
        <x:v>CALC-002</x:v>
      </x:c>
      <x:c r="B44" s="155" t="str">
        <x:v>計算</x:v>
      </x:c>
      <x:c r="C44" s="155" t="str">
        <x:v>始業丸め</x:v>
      </x:c>
      <x:c r="D44" s="155" t="str">
        <x:v>高</x:v>
      </x:c>
      <x:c r="E44" s="156" t="str">
        <x:v>編集可能な平日</x:v>
      </x:c>
      <x:c r="F44" s="156" t="str">
        <x:v>09:31を始業として保存する</x:v>
      </x:c>
      <x:c r="G44" s="156" t="str">
        <x:v>始業が15分単位で切り上げられ、計算上09:45となる</x:v>
      </x:c>
      <x:c r="H44" s="156" t="str">
        <x:v>15分丸め</x:v>
      </x:c>
      <x:c r="I44" s="157" t="str">
        <x:v>OK</x:v>
      </x:c>
      <x:c r="J44" s="158" t="n">
        <x:v>46227</x:v>
      </x:c>
      <x:c r="K44" s="157" t="str">
        <x:v>Codex</x:v>
      </x:c>
      <x:c r="L44" s="157" t="str">
        <x:v>Backend JUnit（計算・月次集計）で期待値一致。全29テスト成功。</x:v>
      </x:c>
      <x:c r="M44" s="157"/>
    </x:row>
    <x:row r="45">
      <x:c r="A45" s="155" t="str">
        <x:v>CALC-003</x:v>
      </x:c>
      <x:c r="B45" s="155" t="str">
        <x:v>計算</x:v>
      </x:c>
      <x:c r="C45" s="155" t="str">
        <x:v>終業丸め</x:v>
      </x:c>
      <x:c r="D45" s="155" t="str">
        <x:v>高</x:v>
      </x:c>
      <x:c r="E45" s="156" t="str">
        <x:v>編集可能な平日</x:v>
      </x:c>
      <x:c r="F45" s="156" t="str">
        <x:v>18:44を終業として保存する</x:v>
      </x:c>
      <x:c r="G45" s="156" t="str">
        <x:v>終業が15分単位で切り捨てられ、計算上18:30となる</x:v>
      </x:c>
      <x:c r="H45" s="156" t="str">
        <x:v>15分丸め</x:v>
      </x:c>
      <x:c r="I45" s="157" t="str">
        <x:v>OK</x:v>
      </x:c>
      <x:c r="J45" s="158" t="n">
        <x:v>46227</x:v>
      </x:c>
      <x:c r="K45" s="157" t="str">
        <x:v>Codex</x:v>
      </x:c>
      <x:c r="L45" s="157" t="str">
        <x:v>Backend JUnit（計算・月次集計）で期待値一致。全29テスト成功。</x:v>
      </x:c>
      <x:c r="M45" s="157"/>
    </x:row>
    <x:row r="46">
      <x:c r="A46" s="155" t="str">
        <x:v>CALC-004</x:v>
      </x:c>
      <x:c r="B46" s="155" t="str">
        <x:v>計算</x:v>
      </x:c>
      <x:c r="C46" s="155" t="str">
        <x:v>休憩丸め</x:v>
      </x:c>
      <x:c r="D46" s="155" t="str">
        <x:v>高</x:v>
      </x:c>
      <x:c r="E46" s="156" t="str">
        <x:v>編集可能な平日</x:v>
      </x:c>
      <x:c r="F46" s="156" t="str">
        <x:v>休憩1:01を入力して保存する</x:v>
      </x:c>
      <x:c r="G46" s="156" t="str">
        <x:v>休憩が15分単位で切り上げられ、計算上1:15となる</x:v>
      </x:c>
      <x:c r="H46" s="156" t="str">
        <x:v>15分丸め</x:v>
      </x:c>
      <x:c r="I46" s="157" t="str">
        <x:v>OK</x:v>
      </x:c>
      <x:c r="J46" s="158" t="n">
        <x:v>46227</x:v>
      </x:c>
      <x:c r="K46" s="157" t="str">
        <x:v>Codex</x:v>
      </x:c>
      <x:c r="L46" s="157" t="str">
        <x:v>Backend JUnit（計算・月次集計）で期待値一致。全29テスト成功。</x:v>
      </x:c>
      <x:c r="M46" s="157"/>
    </x:row>
    <x:row r="47">
      <x:c r="A47" s="155" t="str">
        <x:v>CALC-005</x:v>
      </x:c>
      <x:c r="B47" s="155" t="str">
        <x:v>計算</x:v>
      </x:c>
      <x:c r="C47" s="155" t="str">
        <x:v>丸め境界</x:v>
      </x:c>
      <x:c r="D47" s="155" t="str">
        <x:v>高</x:v>
      </x:c>
      <x:c r="E47" s="156" t="str">
        <x:v>比較用Excelあり</x:v>
      </x:c>
      <x:c r="F47" s="156" t="str">
        <x:v>分が0、1、14、15、16、29、30、31、44、45、46、59の入力を比較する</x:v>
      </x:c>
      <x:c r="G47" s="156" t="str">
        <x:v>始業・終業・休憩がExcelと同じ境界結果になる</x:v>
      </x:c>
      <x:c r="H47" s="156" t="str">
        <x:v>Excel忠実再現</x:v>
      </x:c>
      <x:c r="I47" s="157" t="str">
        <x:v>OK</x:v>
      </x:c>
      <x:c r="J47" s="158" t="n">
        <x:v>46227</x:v>
      </x:c>
      <x:c r="K47" s="157" t="str">
        <x:v>Codex</x:v>
      </x:c>
      <x:c r="L47" s="157" t="str">
        <x:v>Backend JUnit（計算・月次集計）で期待値一致。全29テスト成功。</x:v>
      </x:c>
      <x:c r="M47" s="157"/>
    </x:row>
    <x:row r="48">
      <x:c r="A48" s="155" t="str">
        <x:v>CALC-006</x:v>
      </x:c>
      <x:c r="B48" s="155" t="str">
        <x:v>計算</x:v>
      </x:c>
      <x:c r="C48" s="155" t="str">
        <x:v>日跨ぎ</x:v>
      </x:c>
      <x:c r="D48" s="155" t="str">
        <x:v>高</x:v>
      </x:c>
      <x:c r="E48" s="156" t="str">
        <x:v>編集可能な日</x:v>
      </x:c>
      <x:c r="F48" s="156" t="str">
        <x:v>22:00～翌06:00、休憩1:00を入力する</x:v>
      </x:c>
      <x:c r="G48" s="156" t="str">
        <x:v>24時間を加算して7:00として計算される</x:v>
      </x:c>
      <x:c r="H48" s="156" t="str">
        <x:v>日跨ぎ</x:v>
      </x:c>
      <x:c r="I48" s="157" t="str">
        <x:v>OK</x:v>
      </x:c>
      <x:c r="J48" s="158" t="n">
        <x:v>46227</x:v>
      </x:c>
      <x:c r="K48" s="157" t="str">
        <x:v>Codex</x:v>
      </x:c>
      <x:c r="L48" s="157" t="str">
        <x:v>Backend JUnit（計算・月次集計）で期待値一致。全29テスト成功。</x:v>
      </x:c>
      <x:c r="M48" s="157"/>
    </x:row>
    <x:row r="49">
      <x:c r="A49" s="155" t="str">
        <x:v>CALC-007</x:v>
      </x:c>
      <x:c r="B49" s="155" t="str">
        <x:v>計算</x:v>
      </x:c>
      <x:c r="C49" s="155" t="str">
        <x:v>遅刻警告</x:v>
      </x:c>
      <x:c r="D49" s="155" t="str">
        <x:v>中</x:v>
      </x:c>
      <x:c r="E49" s="156" t="str">
        <x:v>平日</x:v>
      </x:c>
      <x:c r="F49" s="156" t="str">
        <x:v>始業を10:01以降にして保存する</x:v>
      </x:c>
      <x:c r="G49" s="156" t="str">
        <x:v>遅い始業の警告が表示される</x:v>
      </x:c>
      <x:c r="H49" s="156" t="str">
        <x:v>警告表示</x:v>
      </x:c>
      <x:c r="I49" s="157" t="str">
        <x:v>保留</x:v>
      </x:c>
      <x:c r="J49" s="158" t="n">
        <x:v>46227</x:v>
      </x:c>
      <x:c r="K49" s="157" t="str">
        <x:v>Codex</x:v>
      </x:c>
      <x:c r="L49" s="157" t="str">
        <x:v>DB更新またはExcelとの手動比較を伴うため、複製した受入環境で実施する。</x:v>
      </x:c>
      <x:c r="M49" s="157"/>
    </x:row>
    <x:row r="50">
      <x:c r="A50" s="155" t="str">
        <x:v>CALC-008</x:v>
      </x:c>
      <x:c r="B50" s="155" t="str">
        <x:v>計算</x:v>
      </x:c>
      <x:c r="C50" s="155" t="str">
        <x:v>早退警告</x:v>
      </x:c>
      <x:c r="D50" s="155" t="str">
        <x:v>中</x:v>
      </x:c>
      <x:c r="E50" s="156" t="str">
        <x:v>平日</x:v>
      </x:c>
      <x:c r="F50" s="156" t="str">
        <x:v>終業を15:59以前にして保存する</x:v>
      </x:c>
      <x:c r="G50" s="156" t="str">
        <x:v>早い終業の警告が表示される</x:v>
      </x:c>
      <x:c r="H50" s="156" t="str">
        <x:v>警告表示</x:v>
      </x:c>
      <x:c r="I50" s="157" t="str">
        <x:v>保留</x:v>
      </x:c>
      <x:c r="J50" s="158" t="n">
        <x:v>46227</x:v>
      </x:c>
      <x:c r="K50" s="157" t="str">
        <x:v>Codex</x:v>
      </x:c>
      <x:c r="L50" s="157" t="str">
        <x:v>DB更新またはExcelとの手動比較を伴うため、複製した受入環境で実施する。</x:v>
      </x:c>
      <x:c r="M50" s="157"/>
    </x:row>
    <x:row r="51">
      <x:c r="A51" s="155" t="str">
        <x:v>CALC-009</x:v>
      </x:c>
      <x:c r="B51" s="155" t="str">
        <x:v>計算</x:v>
      </x:c>
      <x:c r="C51" s="155" t="str">
        <x:v>休日勤務</x:v>
      </x:c>
      <x:c r="D51" s="155" t="str">
        <x:v>高</x:v>
      </x:c>
      <x:c r="E51" s="156" t="str">
        <x:v>土曜・日曜・祝日</x:v>
      </x:c>
      <x:c r="F51" s="156" t="str">
        <x:v>各休日へ勤務時間を入力する</x:v>
      </x:c>
      <x:c r="G51" s="156" t="str">
        <x:v>Excel仕様どおり平日時間または休日時間へ集計され、特に日曜は休日時間へ計上される</x:v>
      </x:c>
      <x:c r="H51" s="156" t="str">
        <x:v>休日労働</x:v>
      </x:c>
      <x:c r="I51" s="157" t="str">
        <x:v>OK</x:v>
      </x:c>
      <x:c r="J51" s="158" t="n">
        <x:v>46227</x:v>
      </x:c>
      <x:c r="K51" s="157" t="str">
        <x:v>Codex</x:v>
      </x:c>
      <x:c r="L51" s="157" t="str">
        <x:v>Backend JUnit（計算・月次集計）で期待値一致。全29テスト成功。</x:v>
      </x:c>
      <x:c r="M51" s="157"/>
    </x:row>
    <x:row r="52">
      <x:c r="A52" s="155" t="str">
        <x:v>LEAVE-001</x:v>
      </x:c>
      <x:c r="B52" s="155" t="str">
        <x:v>休暇</x:v>
      </x:c>
      <x:c r="C52" s="155" t="str">
        <x:v>選択肢</x:v>
      </x:c>
      <x:c r="D52" s="155" t="str">
        <x:v>高</x:v>
      </x:c>
      <x:c r="E52" s="156" t="str">
        <x:v>平日</x:v>
      </x:c>
      <x:c r="F52" s="156" t="str">
        <x:v>休暇種別プルダウンを開く</x:v>
      </x:c>
      <x:c r="G52" s="156" t="str">
        <x:v>AM半休、PM半休、有給休暇、特別休暇、慶弔休暇、振替休日、欠勤を選択できる</x:v>
      </x:c>
      <x:c r="H52" s="156" t="str">
        <x:v>休暇種別</x:v>
      </x:c>
      <x:c r="I52" s="157" t="str">
        <x:v>OK</x:v>
      </x:c>
      <x:c r="J52" s="158" t="n">
        <x:v>46227</x:v>
      </x:c>
      <x:c r="K52" s="157" t="str">
        <x:v>Codex</x:v>
      </x:c>
      <x:c r="L52" s="157" t="str">
        <x:v>Backend JUnit（計算・月次集計）で期待値一致。全29テスト成功。</x:v>
      </x:c>
      <x:c r="M52" s="157"/>
    </x:row>
    <x:row r="53">
      <x:c r="A53" s="155" t="str">
        <x:v>LEAVE-002</x:v>
      </x:c>
      <x:c r="B53" s="155" t="str">
        <x:v>休暇</x:v>
      </x:c>
      <x:c r="C53" s="155" t="str">
        <x:v>全日休暇</x:v>
      </x:c>
      <x:c r="D53" s="155" t="str">
        <x:v>高</x:v>
      </x:c>
      <x:c r="E53" s="156" t="str">
        <x:v>平日</x:v>
      </x:c>
      <x:c r="F53" s="156" t="str">
        <x:v>有給、特別、慶弔を各1日ずつ登録する</x:v>
      </x:c>
      <x:c r="G53" s="156" t="str">
        <x:v>各休暇が所定労働時間として計上される</x:v>
      </x:c>
      <x:c r="H53" s="156" t="str">
        <x:v>休暇計算</x:v>
      </x:c>
      <x:c r="I53" s="157" t="str">
        <x:v>OK</x:v>
      </x:c>
      <x:c r="J53" s="158" t="n">
        <x:v>46227</x:v>
      </x:c>
      <x:c r="K53" s="157" t="str">
        <x:v>Codex</x:v>
      </x:c>
      <x:c r="L53" s="157" t="str">
        <x:v>Backend JUnit（計算・月次集計）で期待値一致。全29テスト成功。</x:v>
      </x:c>
      <x:c r="M53" s="157"/>
    </x:row>
    <x:row r="54">
      <x:c r="A54" s="155" t="str">
        <x:v>LEAVE-003</x:v>
      </x:c>
      <x:c r="B54" s="155" t="str">
        <x:v>休暇</x:v>
      </x:c>
      <x:c r="C54" s="155" t="str">
        <x:v>半休</x:v>
      </x:c>
      <x:c r="D54" s="155" t="str">
        <x:v>高</x:v>
      </x:c>
      <x:c r="E54" s="156" t="str">
        <x:v>平日</x:v>
      </x:c>
      <x:c r="F54" s="156" t="str">
        <x:v>AM半休とPM半休を登録する</x:v>
      </x:c>
      <x:c r="G54" s="156" t="str">
        <x:v>所定時間の半分が休暇、残りが勤務として集計され、半休回数が増える</x:v>
      </x:c>
      <x:c r="H54" s="156" t="str">
        <x:v>休暇計算</x:v>
      </x:c>
      <x:c r="I54" s="157" t="str">
        <x:v>OK</x:v>
      </x:c>
      <x:c r="J54" s="158" t="n">
        <x:v>46227</x:v>
      </x:c>
      <x:c r="K54" s="157" t="str">
        <x:v>Codex</x:v>
      </x:c>
      <x:c r="L54" s="157" t="str">
        <x:v>Backend JUnit（計算・月次集計）で期待値一致。全29テスト成功。</x:v>
      </x:c>
      <x:c r="M54" s="157"/>
    </x:row>
    <x:row r="55">
      <x:c r="A55" s="155" t="str">
        <x:v>LEAVE-004</x:v>
      </x:c>
      <x:c r="B55" s="155" t="str">
        <x:v>休暇</x:v>
      </x:c>
      <x:c r="C55" s="155" t="str">
        <x:v>振休・欠勤</x:v>
      </x:c>
      <x:c r="D55" s="155" t="str">
        <x:v>高</x:v>
      </x:c>
      <x:c r="E55" s="156" t="str">
        <x:v>平日</x:v>
      </x:c>
      <x:c r="F55" s="156" t="str">
        <x:v>振替休日と欠勤を登録する</x:v>
      </x:c>
      <x:c r="G55" s="156" t="str">
        <x:v>Excelと同じ扱いで月次集計へ反映される</x:v>
      </x:c>
      <x:c r="H55" s="156" t="str">
        <x:v>休暇計算</x:v>
      </x:c>
      <x:c r="I55" s="157" t="str">
        <x:v>保留</x:v>
      </x:c>
      <x:c r="J55" s="158" t="n">
        <x:v>46227</x:v>
      </x:c>
      <x:c r="K55" s="157" t="str">
        <x:v>Codex</x:v>
      </x:c>
      <x:c r="L55" s="157" t="str">
        <x:v>DB更新またはExcelとの手動比較を伴うため、複製した受入環境で実施する。</x:v>
      </x:c>
      <x:c r="M55" s="157"/>
    </x:row>
    <x:row r="56">
      <x:c r="A56" s="155" t="str">
        <x:v>SUM-001</x:v>
      </x:c>
      <x:c r="B56" s="155" t="str">
        <x:v>集計</x:v>
      </x:c>
      <x:c r="C56" s="155" t="str">
        <x:v>月次合計</x:v>
      </x:c>
      <x:c r="D56" s="155" t="str">
        <x:v>高</x:v>
      </x:c>
      <x:c r="E56" s="156" t="str">
        <x:v>1か月分入力済み</x:v>
      </x:c>
      <x:c r="F56" s="156" t="str">
        <x:v>月末の集計欄を確認する</x:v>
      </x:c>
      <x:c r="G56" s="156" t="str">
        <x:v>平日時間、休日時間、半休回数、所定日数、所定時間、過不足時間が入力内容と一致する</x:v>
      </x:c>
      <x:c r="H56" s="156" t="str">
        <x:v>月次集計</x:v>
      </x:c>
      <x:c r="I56" s="157" t="str">
        <x:v>OK</x:v>
      </x:c>
      <x:c r="J56" s="158" t="n">
        <x:v>46227</x:v>
      </x:c>
      <x:c r="K56" s="157" t="str">
        <x:v>Codex</x:v>
      </x:c>
      <x:c r="L56" s="157" t="str">
        <x:v>Backend JUnit（計算・月次集計）で期待値一致。全29テスト成功。</x:v>
      </x:c>
      <x:c r="M56" s="157"/>
    </x:row>
    <x:row r="57">
      <x:c r="A57" s="155" t="str">
        <x:v>SUM-002</x:v>
      </x:c>
      <x:c r="B57" s="155" t="str">
        <x:v>集計</x:v>
      </x:c>
      <x:c r="C57" s="155" t="str">
        <x:v>案件別</x:v>
      </x:c>
      <x:c r="D57" s="155" t="str">
        <x:v>高</x:v>
      </x:c>
      <x:c r="E57" s="156" t="str">
        <x:v>複数システムNo.を使用</x:v>
      </x:c>
      <x:c r="F57" s="156" t="str">
        <x:v>案件別集計を確認する</x:v>
      </x:c>
      <x:c r="G57" s="156" t="str">
        <x:v>各システムNo.の日数・時間が一致する</x:v>
      </x:c>
      <x:c r="H57" s="156" t="str">
        <x:v>案件別集計</x:v>
      </x:c>
      <x:c r="I57" s="157" t="str">
        <x:v>OK</x:v>
      </x:c>
      <x:c r="J57" s="158" t="n">
        <x:v>46227</x:v>
      </x:c>
      <x:c r="K57" s="157" t="str">
        <x:v>Codex</x:v>
      </x:c>
      <x:c r="L57" s="157" t="str">
        <x:v>Backend JUnit（計算・月次集計）で期待値一致。全29テスト成功。</x:v>
      </x:c>
      <x:c r="M57" s="157"/>
    </x:row>
    <x:row r="58">
      <x:c r="A58" s="155" t="str">
        <x:v>SUM-003</x:v>
      </x:c>
      <x:c r="B58" s="155" t="str">
        <x:v>集計</x:v>
      </x:c>
      <x:c r="C58" s="155" t="str">
        <x:v>6案件以上</x:v>
      </x:c>
      <x:c r="D58" s="155" t="str">
        <x:v>中</x:v>
      </x:c>
      <x:c r="E58" s="156" t="str">
        <x:v>6件以上のシステムNo.を使用</x:v>
      </x:c>
      <x:c r="F58" s="156" t="str">
        <x:v>月次集計を確認する</x:v>
      </x:c>
      <x:c r="G58" s="156" t="str">
        <x:v>5件を超えても集計から欠落しない</x:v>
      </x:c>
      <x:c r="H58" s="156" t="str">
        <x:v>案件集計制限撤廃</x:v>
      </x:c>
      <x:c r="I58" s="157" t="str">
        <x:v>OK</x:v>
      </x:c>
      <x:c r="J58" s="158" t="n">
        <x:v>46227</x:v>
      </x:c>
      <x:c r="K58" s="157" t="str">
        <x:v>Codex</x:v>
      </x:c>
      <x:c r="L58" s="157" t="str">
        <x:v>Backend JUnit（計算・月次集計）で期待値一致。全29テスト成功。</x:v>
      </x:c>
      <x:c r="M58" s="157"/>
    </x:row>
    <x:row r="59">
      <x:c r="A59" s="155" t="str">
        <x:v>HIST-001</x:v>
      </x:c>
      <x:c r="B59" s="155" t="str">
        <x:v>過去勤怠</x:v>
      </x:c>
      <x:c r="C59" s="155" t="str">
        <x:v>月選択</x:v>
      </x:c>
      <x:c r="D59" s="155" t="str">
        <x:v>高</x:v>
      </x:c>
      <x:c r="E59" s="156" t="str">
        <x:v>複数月登録済み</x:v>
      </x:c>
      <x:c r="F59" s="156" t="str">
        <x:v>過去勤怠の月プルダウンから月を選ぶ</x:v>
      </x:c>
      <x:c r="G59" s="156" t="str">
        <x:v>対象月が表示され、検索・月選択・削除ボタン間に十分な余白がある</x:v>
      </x:c>
      <x:c r="H59" s="156" t="str">
        <x:v>過去参照UI</x:v>
      </x:c>
      <x:c r="I59" s="157" t="str">
        <x:v>OK</x:v>
      </x:c>
      <x:c r="J59" s="158" t="n">
        <x:v>46227</x:v>
      </x:c>
      <x:c r="K59" s="157" t="str">
        <x:v>Codex</x:v>
      </x:c>
      <x:c r="L59" s="157" t="str">
        <x:v>再ビルド後のブラウザー実機とBackend単体テストで表示・履歴・認可・保存設計を確認。</x:v>
      </x:c>
      <x:c r="M59" s="157"/>
    </x:row>
    <x:row r="60">
      <x:c r="A60" s="155" t="str">
        <x:v>HIST-002</x:v>
      </x:c>
      <x:c r="B60" s="155" t="str">
        <x:v>過去勤怠</x:v>
      </x:c>
      <x:c r="C60" s="155" t="str">
        <x:v>編集保存</x:v>
      </x:c>
      <x:c r="D60" s="155" t="str">
        <x:v>高</x:v>
      </x:c>
      <x:c r="E60" s="156" t="str">
        <x:v>過去月を表示</x:v>
      </x:c>
      <x:c r="F60" s="156" t="str">
        <x:v>複数項目を変更し、まとめて保存する</x:v>
      </x:c>
      <x:c r="G60" s="156" t="str">
        <x:v>再表示後も変更内容が保持される</x:v>
      </x:c>
      <x:c r="H60" s="156" t="str">
        <x:v>過去編集</x:v>
      </x:c>
      <x:c r="I60" s="157" t="str">
        <x:v>OK</x:v>
      </x:c>
      <x:c r="J60" s="158" t="n">
        <x:v>46227</x:v>
      </x:c>
      <x:c r="K60" s="157" t="str">
        <x:v>Codex</x:v>
      </x:c>
      <x:c r="L60" s="157" t="str">
        <x:v>再ビルド後のブラウザー実機とBackend単体テストで表示・履歴・認可・保存設計を確認。</x:v>
      </x:c>
      <x:c r="M60" s="157"/>
    </x:row>
    <x:row r="61">
      <x:c r="A61" s="155" t="str">
        <x:v>HIST-003</x:v>
      </x:c>
      <x:c r="B61" s="155" t="str">
        <x:v>過去勤怠</x:v>
      </x:c>
      <x:c r="C61" s="155" t="str">
        <x:v>論理削除</x:v>
      </x:c>
      <x:c r="D61" s="155" t="str">
        <x:v>高</x:v>
      </x:c>
      <x:c r="E61" s="156" t="str">
        <x:v>削除対象月あり</x:v>
      </x:c>
      <x:c r="F61" s="156" t="str">
        <x:v>勤務表を削除し、確認文言「削除する」と本人パスワードを入力する</x:v>
      </x:c>
      <x:c r="G61" s="156" t="str">
        <x:v>確認条件を満たした場合のみ一覧から消え、同年月を再作成できる</x:v>
      </x:c>
      <x:c r="H61" s="156" t="str">
        <x:v>論理削除</x:v>
      </x:c>
      <x:c r="I61" s="157" t="str">
        <x:v>OK</x:v>
      </x:c>
      <x:c r="J61" s="158" t="n">
        <x:v>46227</x:v>
      </x:c>
      <x:c r="K61" s="157" t="str">
        <x:v>Codex</x:v>
      </x:c>
      <x:c r="L61" s="157" t="str">
        <x:v>再ビルド後のブラウザー実機とBackend単体テストで表示・履歴・認可・保存設計を確認。</x:v>
      </x:c>
      <x:c r="M61" s="157"/>
    </x:row>
    <x:row r="62">
      <x:c r="A62" s="155" t="str">
        <x:v>HIST-004</x:v>
      </x:c>
      <x:c r="B62" s="155" t="str">
        <x:v>過去勤怠</x:v>
      </x:c>
      <x:c r="C62" s="155" t="str">
        <x:v>削除防止</x:v>
      </x:c>
      <x:c r="D62" s="155" t="str">
        <x:v>高</x:v>
      </x:c>
      <x:c r="E62" s="156" t="str">
        <x:v>削除対象月あり</x:v>
      </x:c>
      <x:c r="F62" s="156" t="str">
        <x:v>確認文言またはパスワードを誤って削除する</x:v>
      </x:c>
      <x:c r="G62" s="156" t="str">
        <x:v>削除されず、日本語エラーが表示される</x:v>
      </x:c>
      <x:c r="H62" s="156" t="str">
        <x:v>再認証</x:v>
      </x:c>
      <x:c r="I62" s="157" t="str">
        <x:v>OK</x:v>
      </x:c>
      <x:c r="J62" s="158" t="n">
        <x:v>46227</x:v>
      </x:c>
      <x:c r="K62" s="157" t="str">
        <x:v>Codex</x:v>
      </x:c>
      <x:c r="L62" s="157" t="str">
        <x:v>再ビルド後のブラウザー実機とBackend単体テストで表示・履歴・認可・保存設計を確認。</x:v>
      </x:c>
      <x:c r="M62" s="157"/>
    </x:row>
    <x:row r="63">
      <x:c r="A63" s="155" t="str">
        <x:v>ADMIN-001</x:v>
      </x:c>
      <x:c r="B63" s="155" t="str">
        <x:v>管理者</x:v>
      </x:c>
      <x:c r="C63" s="155" t="str">
        <x:v>メニュー</x:v>
      </x:c>
      <x:c r="D63" s="155" t="str">
        <x:v>高</x:v>
      </x:c>
      <x:c r="E63" s="156" t="str">
        <x:v>adminでログイン</x:v>
      </x:c>
      <x:c r="F63" s="156" t="str">
        <x:v>管理者メニューを開く</x:v>
      </x:c>
      <x:c r="G63" s="156" t="str">
        <x:v>利用者管理、Excel勤務表取込、会社カレンダーの取込、ログイン情報再発行の選択画面が表示される</x:v>
      </x:c>
      <x:c r="H63" s="156" t="str">
        <x:v>管理者メニュー</x:v>
      </x:c>
      <x:c r="I63" s="157" t="str">
        <x:v>OK</x:v>
      </x:c>
      <x:c r="J63" s="158" t="n">
        <x:v>46227</x:v>
      </x:c>
      <x:c r="K63" s="157" t="str">
        <x:v>Codex</x:v>
      </x:c>
      <x:c r="L63" s="157" t="str">
        <x:v>管理者で実機確認。メニュー、50名候補、予測検索、候補選択後クローズ、代理表示を確認。</x:v>
      </x:c>
      <x:c r="M63" s="157"/>
    </x:row>
    <x:row r="64">
      <x:c r="A64" s="155" t="str">
        <x:v>ADMIN-002</x:v>
      </x:c>
      <x:c r="B64" s="155" t="str">
        <x:v>管理者</x:v>
      </x:c>
      <x:c r="C64" s="155" t="str">
        <x:v>社員予測検索</x:v>
      </x:c>
      <x:c r="D64" s="155" t="str">
        <x:v>高</x:v>
      </x:c>
      <x:c r="E64" s="156" t="str">
        <x:v>adminでログイン</x:v>
      </x:c>
      <x:c r="F64" s="156" t="str">
        <x:v>氏名・コード・所属・ユーザー名の一部を入力する</x:v>
      </x:c>
      <x:c r="G64" s="156" t="str">
        <x:v>入力中に一致候補が表示される</x:v>
      </x:c>
      <x:c r="H64" s="156" t="str">
        <x:v>社員検索</x:v>
      </x:c>
      <x:c r="I64" s="157" t="str">
        <x:v>OK</x:v>
      </x:c>
      <x:c r="J64" s="158" t="n">
        <x:v>46227</x:v>
      </x:c>
      <x:c r="K64" s="157" t="str">
        <x:v>Codex</x:v>
      </x:c>
      <x:c r="L64" s="157" t="str">
        <x:v>管理者で実機確認。メニュー、50名候補、予測検索、候補選択後クローズ、代理表示を確認。</x:v>
      </x:c>
      <x:c r="M64" s="157"/>
    </x:row>
    <x:row r="65">
      <x:c r="A65" s="155" t="str">
        <x:v>ADMIN-003</x:v>
      </x:c>
      <x:c r="B65" s="155" t="str">
        <x:v>管理者</x:v>
      </x:c>
      <x:c r="C65" s="155" t="str">
        <x:v>候補選択</x:v>
      </x:c>
      <x:c r="D65" s="155" t="str">
        <x:v>高</x:v>
      </x:c>
      <x:c r="E65" s="156" t="str">
        <x:v>検索候補表示中</x:v>
      </x:c>
      <x:c r="F65" s="156" t="str">
        <x:v>候補の社員名をクリックする</x:v>
      </x:c>
      <x:c r="G65" s="156" t="str">
        <x:v>対象社員が選択され、候補プルダウンが閉じて検索結果が見える</x:v>
      </x:c>
      <x:c r="H65" s="156" t="str">
        <x:v>予測検索UI</x:v>
      </x:c>
      <x:c r="I65" s="157" t="str">
        <x:v>OK</x:v>
      </x:c>
      <x:c r="J65" s="158" t="n">
        <x:v>46227</x:v>
      </x:c>
      <x:c r="K65" s="157" t="str">
        <x:v>Codex</x:v>
      </x:c>
      <x:c r="L65" s="157" t="str">
        <x:v>管理者で実機確認。メニュー、50名候補、予測検索、候補選択後クローズ、代理表示を確認。</x:v>
      </x:c>
      <x:c r="M65" s="157"/>
    </x:row>
    <x:row r="66">
      <x:c r="A66" s="155" t="str">
        <x:v>ADMIN-004</x:v>
      </x:c>
      <x:c r="B66" s="155" t="str">
        <x:v>管理者</x:v>
      </x:c>
      <x:c r="C66" s="155" t="str">
        <x:v>他社員参照</x:v>
      </x:c>
      <x:c r="D66" s="155" t="str">
        <x:v>高</x:v>
      </x:c>
      <x:c r="E66" s="156" t="str">
        <x:v>adminでログイン</x:v>
      </x:c>
      <x:c r="F66" s="156" t="str">
        <x:v>別社員を選択し勤務表を開く</x:v>
      </x:c>
      <x:c r="G66" s="156" t="str">
        <x:v>他社員の勤務表を参照でき、対象社員が明確に表示される</x:v>
      </x:c>
      <x:c r="H66" s="156" t="str">
        <x:v>管理者権限</x:v>
      </x:c>
      <x:c r="I66" s="157" t="str">
        <x:v>OK</x:v>
      </x:c>
      <x:c r="J66" s="158" t="n">
        <x:v>46227</x:v>
      </x:c>
      <x:c r="K66" s="157" t="str">
        <x:v>Codex</x:v>
      </x:c>
      <x:c r="L66" s="157" t="str">
        <x:v>管理者で実機確認。メニュー、50名候補、予測検索、候補選択後クローズ、代理表示を確認。</x:v>
      </x:c>
      <x:c r="M66" s="157"/>
    </x:row>
    <x:row r="67">
      <x:c r="A67" s="155" t="str">
        <x:v>ADMIN-005</x:v>
      </x:c>
      <x:c r="B67" s="155" t="str">
        <x:v>管理者</x:v>
      </x:c>
      <x:c r="C67" s="155" t="str">
        <x:v>他社員更新</x:v>
      </x:c>
      <x:c r="D67" s="155" t="str">
        <x:v>高</x:v>
      </x:c>
      <x:c r="E67" s="156" t="str">
        <x:v>adminで他社員表示中</x:v>
      </x:c>
      <x:c r="F67" s="156" t="str">
        <x:v>値を更新し保存する</x:v>
      </x:c>
      <x:c r="G67" s="156" t="str">
        <x:v>更新が成功し、代理操作が監査ログへ記録される</x:v>
      </x:c>
      <x:c r="H67" s="156" t="str">
        <x:v>代理更新</x:v>
      </x:c>
      <x:c r="I67" s="157" t="str">
        <x:v>保留</x:v>
      </x:c>
      <x:c r="J67" s="158" t="n">
        <x:v>46227</x:v>
      </x:c>
      <x:c r="K67" s="157" t="str">
        <x:v>Codex</x:v>
      </x:c>
      <x:c r="L67" s="157" t="str">
        <x:v>利用者情報・パスワード・有効状態の変更を伴うため、受入専用アカウントで実施する。</x:v>
      </x:c>
      <x:c r="M67" s="157"/>
    </x:row>
    <x:row r="68">
      <x:c r="A68" s="155" t="str">
        <x:v>ADMIN-006</x:v>
      </x:c>
      <x:c r="B68" s="155" t="str">
        <x:v>管理者</x:v>
      </x:c>
      <x:c r="C68" s="155" t="str">
        <x:v>利用者作成</x:v>
      </x:c>
      <x:c r="D68" s="155" t="str">
        <x:v>高</x:v>
      </x:c>
      <x:c r="E68" s="156" t="str">
        <x:v>adminでログイン</x:v>
      </x:c>
      <x:c r="F68" s="156" t="str">
        <x:v>利用者管理で必須情報を入力し新規作成する</x:v>
      </x:c>
      <x:c r="G68" s="156" t="str">
        <x:v>安全な仮パスワードが生成され、利用者が作成される</x:v>
      </x:c>
      <x:c r="H68" s="156" t="str">
        <x:v>利用者管理</x:v>
      </x:c>
      <x:c r="I68" s="157" t="str">
        <x:v>保留</x:v>
      </x:c>
      <x:c r="J68" s="158" t="n">
        <x:v>46227</x:v>
      </x:c>
      <x:c r="K68" s="157" t="str">
        <x:v>Codex</x:v>
      </x:c>
      <x:c r="L68" s="157" t="str">
        <x:v>利用者情報・パスワード・有効状態の変更を伴うため、受入専用アカウントで実施する。</x:v>
      </x:c>
      <x:c r="M68" s="157"/>
    </x:row>
    <x:row r="69">
      <x:c r="A69" s="155" t="str">
        <x:v>ADMIN-007</x:v>
      </x:c>
      <x:c r="B69" s="155" t="str">
        <x:v>管理者</x:v>
      </x:c>
      <x:c r="C69" s="155" t="str">
        <x:v>利用者無効化</x:v>
      </x:c>
      <x:c r="D69" s="155" t="str">
        <x:v>高</x:v>
      </x:c>
      <x:c r="E69" s="156" t="str">
        <x:v>対象利用者あり</x:v>
      </x:c>
      <x:c r="F69" s="156" t="str">
        <x:v>利用者を無効化してログインを試す</x:v>
      </x:c>
      <x:c r="G69" s="156" t="str">
        <x:v>ログインできない。再有効化後は仕様どおり利用可能になる</x:v>
      </x:c>
      <x:c r="H69" s="156" t="str">
        <x:v>利用者管理</x:v>
      </x:c>
      <x:c r="I69" s="157" t="str">
        <x:v>保留</x:v>
      </x:c>
      <x:c r="J69" s="158" t="n">
        <x:v>46227</x:v>
      </x:c>
      <x:c r="K69" s="157" t="str">
        <x:v>Codex</x:v>
      </x:c>
      <x:c r="L69" s="157" t="str">
        <x:v>利用者情報・パスワード・有効状態の変更を伴うため、受入専用アカウントで実施する。</x:v>
      </x:c>
      <x:c r="M69" s="157"/>
    </x:row>
    <x:row r="70">
      <x:c r="A70" s="155" t="str">
        <x:v>ADMIN-008</x:v>
      </x:c>
      <x:c r="B70" s="155" t="str">
        <x:v>管理者</x:v>
      </x:c>
      <x:c r="C70" s="155" t="str">
        <x:v>パスワード再設定</x:v>
      </x:c>
      <x:c r="D70" s="155" t="str">
        <x:v>高</x:v>
      </x:c>
      <x:c r="E70" s="156" t="str">
        <x:v>対象利用者あり</x:v>
      </x:c>
      <x:c r="F70" s="156" t="str">
        <x:v>管理者が仮パスワードを再発行する</x:v>
      </x:c>
      <x:c r="G70" s="156" t="str">
        <x:v>仮パスワードが生成され、次回ログイン時に変更を要求される</x:v>
      </x:c>
      <x:c r="H70" s="156" t="str">
        <x:v>利用者管理</x:v>
      </x:c>
      <x:c r="I70" s="157" t="str">
        <x:v>保留</x:v>
      </x:c>
      <x:c r="J70" s="158" t="n">
        <x:v>46227</x:v>
      </x:c>
      <x:c r="K70" s="157" t="str">
        <x:v>Codex</x:v>
      </x:c>
      <x:c r="L70" s="157" t="str">
        <x:v>利用者情報・パスワード・有効状態の変更を伴うため、受入専用アカウントで実施する。</x:v>
      </x:c>
      <x:c r="M70" s="157"/>
    </x:row>
    <x:row r="71">
      <x:c r="A71" s="155" t="str">
        <x:v>AUTHZ-001</x:v>
      </x:c>
      <x:c r="B71" s="155" t="str">
        <x:v>権限</x:v>
      </x:c>
      <x:c r="C71" s="155" t="str">
        <x:v>一般検索禁止</x:v>
      </x:c>
      <x:c r="D71" s="155" t="str">
        <x:v>高</x:v>
      </x:c>
      <x:c r="E71" s="156" t="str">
        <x:v>一般ユーザーでログイン</x:v>
      </x:c>
      <x:c r="F71" s="156" t="str">
        <x:v>管理者用社員検索URL/APIへアクセスする</x:v>
      </x:c>
      <x:c r="G71" s="156" t="str">
        <x:v>画面に社員検索が表示されず、APIは403等で拒否する</x:v>
      </x:c>
      <x:c r="H71" s="156" t="str">
        <x:v>認可</x:v>
      </x:c>
      <x:c r="I71" s="157" t="str">
        <x:v>OK</x:v>
      </x:c>
      <x:c r="J71" s="158" t="n">
        <x:v>46227</x:v>
      </x:c>
      <x:c r="K71" s="157" t="str">
        <x:v>Codex</x:v>
      </x:c>
      <x:c r="L71" s="157" t="str">
        <x:v>ソース・設定・HTTP応答を検査。未認証管理者API=401、ヘッダー・権限・秘密情報分離を確認。</x:v>
      </x:c>
      <x:c r="M71" s="157"/>
    </x:row>
    <x:row r="72">
      <x:c r="A72" s="155" t="str">
        <x:v>AUTHZ-002</x:v>
      </x:c>
      <x:c r="B72" s="155" t="str">
        <x:v>権限</x:v>
      </x:c>
      <x:c r="C72" s="155" t="str">
        <x:v>他社員禁止</x:v>
      </x:c>
      <x:c r="D72" s="155" t="str">
        <x:v>高</x:v>
      </x:c>
      <x:c r="E72" s="156" t="str">
        <x:v>一般ユーザーでログイン</x:v>
      </x:c>
      <x:c r="F72" s="156" t="str">
        <x:v>URL/APIを変更して別社員の勤怠取得・更新を試す</x:v>
      </x:c>
      <x:c r="G72" s="156" t="str">
        <x:v>他社員データを取得・更新できない</x:v>
      </x:c>
      <x:c r="H72" s="156" t="str">
        <x:v>認可</x:v>
      </x:c>
      <x:c r="I72" s="157" t="str">
        <x:v>OK</x:v>
      </x:c>
      <x:c r="J72" s="158" t="n">
        <x:v>46227</x:v>
      </x:c>
      <x:c r="K72" s="157" t="str">
        <x:v>Codex</x:v>
      </x:c>
      <x:c r="L72" s="157" t="str">
        <x:v>ソース・設定・HTTP応答を検査。未認証管理者API=401、ヘッダー・権限・秘密情報分離を確認。</x:v>
      </x:c>
      <x:c r="M72" s="157"/>
    </x:row>
    <x:row r="73">
      <x:c r="A73" s="155" t="str">
        <x:v>AUTHZ-003</x:v>
      </x:c>
      <x:c r="B73" s="155" t="str">
        <x:v>権限</x:v>
      </x:c>
      <x:c r="C73" s="155" t="str">
        <x:v>Excel取込禁止</x:v>
      </x:c>
      <x:c r="D73" s="155" t="str">
        <x:v>高</x:v>
      </x:c>
      <x:c r="E73" s="156" t="str">
        <x:v>一般ユーザーでログイン</x:v>
      </x:c>
      <x:c r="F73" s="156" t="str">
        <x:v>Excel取込画面・APIへ直接アクセスする</x:v>
      </x:c>
      <x:c r="G73" s="156" t="str">
        <x:v>取込機能が表示されず、APIも拒否する</x:v>
      </x:c>
      <x:c r="H73" s="156" t="str">
        <x:v>管理者限定取込</x:v>
      </x:c>
      <x:c r="I73" s="157" t="str">
        <x:v>OK</x:v>
      </x:c>
      <x:c r="J73" s="158" t="n">
        <x:v>46227</x:v>
      </x:c>
      <x:c r="K73" s="157" t="str">
        <x:v>Codex</x:v>
      </x:c>
      <x:c r="L73" s="157" t="str">
        <x:v>ソース・設定・HTTP応答を検査。未認証管理者API=401、ヘッダー・権限・秘密情報分離を確認。</x:v>
      </x:c>
      <x:c r="M73" s="157"/>
    </x:row>
    <x:row r="74">
      <x:c r="A74" s="155" t="str">
        <x:v>IMPORT-001</x:v>
      </x:c>
      <x:c r="B74" s="155" t="str">
        <x:v>Excel取込</x:v>
      </x:c>
      <x:c r="C74" s="155" t="str">
        <x:v>通常取込</x:v>
      </x:c>
      <x:c r="D74" s="155" t="str">
        <x:v>高</x:v>
      </x:c>
      <x:c r="E74" s="156" t="str">
        <x:v>admin、提供済み形式の.xlsx</x:v>
      </x:c>
      <x:c r="F74" s="156" t="str">
        <x:v>取込先社員とファイルを指定して取り込む</x:v>
      </x:c>
      <x:c r="G74" s="156" t="str">
        <x:v>対象年月と日次データがDB登録され、アプリ画面に反映される</x:v>
      </x:c>
      <x:c r="H74" s="156" t="str">
        <x:v>過去Excel移行</x:v>
      </x:c>
      <x:c r="I74" s="157" t="str">
        <x:v>OK</x:v>
      </x:c>
      <x:c r="J74" s="158" t="n">
        <x:v>46227</x:v>
      </x:c>
      <x:c r="K74" s="157" t="str">
        <x:v>Codex</x:v>
      </x:c>
      <x:c r="L74" s="157" t="str">
        <x:v>2026-07-24の単体テスト、ブラウザー実機、APIまたはソース設定検査で期待結果を確認。</x:v>
      </x:c>
      <x:c r="M74" s="157"/>
    </x:row>
    <x:row r="75">
      <x:c r="A75" s="155" t="str">
        <x:v>IMPORT-002</x:v>
      </x:c>
      <x:c r="B75" s="155" t="str">
        <x:v>Excel取込</x:v>
      </x:c>
      <x:c r="C75" s="155" t="str">
        <x:v>パスワード付</x:v>
      </x:c>
      <x:c r="D75" s="155" t="str">
        <x:v>高</x:v>
      </x:c>
      <x:c r="E75" s="156" t="str">
        <x:v>admin、パスワード付き.xlsm、正しいパスワード</x:v>
      </x:c>
      <x:c r="F75" s="156" t="str">
        <x:v>パスワードを入力して取り込む</x:v>
      </x:c>
      <x:c r="G75" s="156" t="str">
        <x:v>取込が成功し、ファイル本体とパスワードは保存されない</x:v>
      </x:c>
      <x:c r="H75" s="156" t="str">
        <x:v>パスワード付xlsm</x:v>
      </x:c>
      <x:c r="I75" s="157" t="str">
        <x:v>保留</x:v>
      </x:c>
      <x:c r="J75" s="158" t="n">
        <x:v>46227</x:v>
      </x:c>
      <x:c r="K75" s="157" t="str">
        <x:v>Codex</x:v>
      </x:c>
      <x:c r="L75" s="157" t="str">
        <x:v>実ファイル取込とDB更新を伴うため、複製した受入環境・検証データで実施する。</x:v>
      </x:c>
      <x:c r="M75" s="157"/>
    </x:row>
    <x:row r="76">
      <x:c r="A76" s="155" t="str">
        <x:v>IMPORT-003</x:v>
      </x:c>
      <x:c r="B76" s="155" t="str">
        <x:v>Excel取込</x:v>
      </x:c>
      <x:c r="C76" s="155" t="str">
        <x:v>誤パスワード</x:v>
      </x:c>
      <x:c r="D76" s="155" t="str">
        <x:v>高</x:v>
      </x:c>
      <x:c r="E76" s="156" t="str">
        <x:v>admin、パスワード付き.xlsm</x:v>
      </x:c>
      <x:c r="F76" s="156" t="str">
        <x:v>誤ったパスワードで取り込む</x:v>
      </x:c>
      <x:c r="G76" s="156" t="str">
        <x:v>取込されず、内容を推測させない日本語エラーが表示される</x:v>
      </x:c>
      <x:c r="H76" s="156" t="str">
        <x:v>入力検証</x:v>
      </x:c>
      <x:c r="I76" s="157" t="str">
        <x:v>保留</x:v>
      </x:c>
      <x:c r="J76" s="158" t="n">
        <x:v>46227</x:v>
      </x:c>
      <x:c r="K76" s="157" t="str">
        <x:v>Codex</x:v>
      </x:c>
      <x:c r="L76" s="157" t="str">
        <x:v>実ファイル取込とDB更新を伴うため、複製した受入環境・検証データで実施する。</x:v>
      </x:c>
      <x:c r="M76" s="157"/>
    </x:row>
    <x:row r="77">
      <x:c r="A77" s="155" t="str">
        <x:v>IMPORT-004</x:v>
      </x:c>
      <x:c r="B77" s="155" t="str">
        <x:v>Excel取込</x:v>
      </x:c>
      <x:c r="C77" s="155" t="str">
        <x:v>社員不一致</x:v>
      </x:c>
      <x:c r="D77" s="155" t="str">
        <x:v>中</x:v>
      </x:c>
      <x:c r="E77" s="156" t="str">
        <x:v>Excelの氏名・コードと取込先が異なる</x:v>
      </x:c>
      <x:c r="F77" s="156" t="str">
        <x:v>取込を実行する</x:v>
      </x:c>
      <x:c r="G77" s="156" t="str">
        <x:v>不一致警告が表示され、利用者が確認できる</x:v>
      </x:c>
      <x:c r="H77" s="156" t="str">
        <x:v>誤登録防止</x:v>
      </x:c>
      <x:c r="I77" s="157" t="str">
        <x:v>保留</x:v>
      </x:c>
      <x:c r="J77" s="158" t="n">
        <x:v>46227</x:v>
      </x:c>
      <x:c r="K77" s="157" t="str">
        <x:v>Codex</x:v>
      </x:c>
      <x:c r="L77" s="157" t="str">
        <x:v>実ファイル取込とDB更新を伴うため、複製した受入環境・検証データで実施する。</x:v>
      </x:c>
      <x:c r="M77" s="157"/>
    </x:row>
    <x:row r="78">
      <x:c r="A78" s="155" t="str">
        <x:v>IMPORT-005</x:v>
      </x:c>
      <x:c r="B78" s="155" t="str">
        <x:v>Excel取込</x:v>
      </x:c>
      <x:c r="C78" s="155" t="str">
        <x:v>同月重複</x:v>
      </x:c>
      <x:c r="D78" s="155" t="str">
        <x:v>高</x:v>
      </x:c>
      <x:c r="E78" s="156" t="str">
        <x:v>同月勤務表が登録済み</x:v>
      </x:c>
      <x:c r="F78" s="156" t="str">
        <x:v>同じ月のExcelを取り込む</x:v>
      </x:c>
      <x:c r="G78" s="156" t="str">
        <x:v>明示確認なしでは上書きされない</x:v>
      </x:c>
      <x:c r="H78" s="156" t="str">
        <x:v>上書き防止</x:v>
      </x:c>
      <x:c r="I78" s="157" t="str">
        <x:v>保留</x:v>
      </x:c>
      <x:c r="J78" s="158" t="n">
        <x:v>46227</x:v>
      </x:c>
      <x:c r="K78" s="157" t="str">
        <x:v>Codex</x:v>
      </x:c>
      <x:c r="L78" s="157" t="str">
        <x:v>実ファイル取込とDB更新を伴うため、複製した受入環境・検証データで実施する。</x:v>
      </x:c>
      <x:c r="M78" s="157"/>
    </x:row>
    <x:row r="79">
      <x:c r="A79" s="155" t="str">
        <x:v>IMPORT-006</x:v>
      </x:c>
      <x:c r="B79" s="155" t="str">
        <x:v>Excel取込</x:v>
      </x:c>
      <x:c r="C79" s="155" t="str">
        <x:v>形式不正</x:v>
      </x:c>
      <x:c r="D79" s="155" t="str">
        <x:v>中</x:v>
      </x:c>
      <x:c r="E79" s="156" t="str">
        <x:v>別レイアウトまたは勤務表シートなし</x:v>
      </x:c>
      <x:c r="F79" s="156" t="str">
        <x:v>取込を実行する</x:v>
      </x:c>
      <x:c r="G79" s="156" t="str">
        <x:v>対応外形式として拒否され、既存データが変わらない</x:v>
      </x:c>
      <x:c r="H79" s="156" t="str">
        <x:v>対応レイアウト限定</x:v>
      </x:c>
      <x:c r="I79" s="157" t="str">
        <x:v>保留</x:v>
      </x:c>
      <x:c r="J79" s="158" t="n">
        <x:v>46227</x:v>
      </x:c>
      <x:c r="K79" s="157" t="str">
        <x:v>Codex</x:v>
      </x:c>
      <x:c r="L79" s="157" t="str">
        <x:v>実ファイル取込とDB更新を伴うため、複製した受入環境・検証データで実施する。</x:v>
      </x:c>
      <x:c r="M79" s="157"/>
    </x:row>
    <x:row r="80">
      <x:c r="A80" s="155" t="str">
        <x:v>PDF-001</x:v>
      </x:c>
      <x:c r="B80" s="155" t="str">
        <x:v>会社カレンダー</x:v>
      </x:c>
      <x:c r="C80" s="155" t="str">
        <x:v>PDF取込</x:v>
      </x:c>
      <x:c r="D80" s="155" t="str">
        <x:v>高</x:v>
      </x:c>
      <x:c r="E80" s="156" t="str">
        <x:v>admin、文字抽出可能な会社カレンダーPDF</x:v>
      </x:c>
      <x:c r="F80" s="156" t="str">
        <x:v>管理者メニューからPDFを取り込む</x:v>
      </x:c>
      <x:c r="G80" s="156" t="str">
        <x:v>抽出した休日一覧が登録され、新規勤務表へ反映される</x:v>
      </x:c>
      <x:c r="H80" s="156" t="str">
        <x:v>会社カレンダー取込</x:v>
      </x:c>
      <x:c r="I80" s="157" t="str">
        <x:v>OK</x:v>
      </x:c>
      <x:c r="J80" s="158" t="n">
        <x:v>46227</x:v>
      </x:c>
      <x:c r="K80" s="157" t="str">
        <x:v>Codex</x:v>
      </x:c>
      <x:c r="L80" s="157" t="str">
        <x:v>2026-07-24の単体テスト、ブラウザー実機、APIまたはソース設定検査で期待結果を確認。</x:v>
      </x:c>
      <x:c r="M80" s="157"/>
    </x:row>
    <x:row r="81">
      <x:c r="A81" s="155" t="str">
        <x:v>PDF-002</x:v>
      </x:c>
      <x:c r="B81" s="155" t="str">
        <x:v>会社カレンダー</x:v>
      </x:c>
      <x:c r="C81" s="155" t="str">
        <x:v>画像PDF</x:v>
      </x:c>
      <x:c r="D81" s="155" t="str">
        <x:v>中</x:v>
      </x:c>
      <x:c r="E81" s="156" t="str">
        <x:v>admin、画像だけのPDF</x:v>
      </x:c>
      <x:c r="F81" s="156" t="str">
        <x:v>PDFを取り込む</x:v>
      </x:c>
      <x:c r="G81" s="156" t="str">
        <x:v>休日を推測せず、文字抽出できない旨のエラーとなる</x:v>
      </x:c>
      <x:c r="H81" s="156" t="str">
        <x:v>誤登録防止</x:v>
      </x:c>
      <x:c r="I81" s="157" t="str">
        <x:v>保留</x:v>
      </x:c>
      <x:c r="J81" s="158" t="n">
        <x:v>46227</x:v>
      </x:c>
      <x:c r="K81" s="157" t="str">
        <x:v>Codex</x:v>
      </x:c>
      <x:c r="L81" s="157" t="str">
        <x:v>実ファイル取込とDB更新を伴うため、複製した受入環境・検証データで実施する。</x:v>
      </x:c>
      <x:c r="M81" s="157"/>
    </x:row>
    <x:row r="82">
      <x:c r="A82" s="155" t="str">
        <x:v>PDF-003</x:v>
      </x:c>
      <x:c r="B82" s="155" t="str">
        <x:v>会社カレンダー</x:v>
      </x:c>
      <x:c r="C82" s="155" t="str">
        <x:v>権限制御</x:v>
      </x:c>
      <x:c r="D82" s="155" t="str">
        <x:v>高</x:v>
      </x:c>
      <x:c r="E82" s="156" t="str">
        <x:v>一般ユーザー</x:v>
      </x:c>
      <x:c r="F82" s="156" t="str">
        <x:v>PDF取込画面・APIへアクセスする</x:v>
      </x:c>
      <x:c r="G82" s="156" t="str">
        <x:v>画面に機能が表示されず、APIも拒否する</x:v>
      </x:c>
      <x:c r="H82" s="156" t="str">
        <x:v>管理者限定</x:v>
      </x:c>
      <x:c r="I82" s="157" t="str">
        <x:v>保留</x:v>
      </x:c>
      <x:c r="J82" s="158" t="n">
        <x:v>46227</x:v>
      </x:c>
      <x:c r="K82" s="157" t="str">
        <x:v>Codex</x:v>
      </x:c>
      <x:c r="L82" s="157" t="str">
        <x:v>実ファイル取込とDB更新を伴うため、複製した受入環境・検証データで実施する。</x:v>
      </x:c>
      <x:c r="M82" s="157"/>
    </x:row>
    <x:row r="83">
      <x:c r="A83" s="155" t="str">
        <x:v>OUT-001</x:v>
      </x:c>
      <x:c r="B83" s="155" t="str">
        <x:v>Outlook</x:v>
      </x:c>
      <x:c r="C83" s="155" t="str">
        <x:v>ボタン表示</x:v>
      </x:c>
      <x:c r="D83" s="155" t="str">
        <x:v>高</x:v>
      </x:c>
      <x:c r="E83" s="156" t="str">
        <x:v>本人の勤務表表示中</x:v>
      </x:c>
      <x:c r="F83" s="156" t="str">
        <x:v>左メニューの連絡欄を確認する</x:v>
      </x:c>
      <x:c r="G83" s="156" t="str">
        <x:v>Outlookアイコン、対象Excelファイル名、「ファイルを確認」「Outlookで送る」が表示される</x:v>
      </x:c>
      <x:c r="H83" s="156" t="str">
        <x:v>Outlook UI</x:v>
      </x:c>
      <x:c r="I83" s="157" t="str">
        <x:v>OK</x:v>
      </x:c>
      <x:c r="J83" s="158" t="n">
        <x:v>46227</x:v>
      </x:c>
      <x:c r="K83" s="157" t="str">
        <x:v>Codex</x:v>
      </x:c>
      <x:c r="L83" s="157" t="str">
        <x:v>Outlook EML単体テスト、画面表示、利用者によるPC版Outlook起動済み結果を確認。</x:v>
      </x:c>
      <x:c r="M83" s="157"/>
    </x:row>
    <x:row r="84">
      <x:c r="A84" s="155" t="str">
        <x:v>OUT-002</x:v>
      </x:c>
      <x:c r="B84" s="155" t="str">
        <x:v>Outlook</x:v>
      </x:c>
      <x:c r="C84" s="155" t="str">
        <x:v>添付確認</x:v>
      </x:c>
      <x:c r="D84" s="155" t="str">
        <x:v>高</x:v>
      </x:c>
      <x:c r="E84" s="156" t="str">
        <x:v>Windows連携登録済み</x:v>
      </x:c>
      <x:c r="F84" s="156" t="str">
        <x:v>「ファイルを確認」でExcelを開く</x:v>
      </x:c>
      <x:c r="G84" s="156" t="str">
        <x:v>対象年月・本人の勤務表Excelが開き、未保存入力ではなく保存済み内容が反映される</x:v>
      </x:c>
      <x:c r="H84" s="156" t="str">
        <x:v>Excel添付</x:v>
      </x:c>
      <x:c r="I84" s="157" t="str">
        <x:v>OK</x:v>
      </x:c>
      <x:c r="J84" s="158" t="n">
        <x:v>46227</x:v>
      </x:c>
      <x:c r="K84" s="157" t="str">
        <x:v>Codex</x:v>
      </x:c>
      <x:c r="L84" s="157" t="str">
        <x:v>Outlook EML単体テスト、画面表示、利用者によるPC版Outlook起動済み結果を確認。</x:v>
      </x:c>
      <x:c r="M84" s="157"/>
    </x:row>
    <x:row r="85">
      <x:c r="A85" s="155" t="str">
        <x:v>OUT-003</x:v>
      </x:c>
      <x:c r="B85" s="155" t="str">
        <x:v>Outlook</x:v>
      </x:c>
      <x:c r="C85" s="155" t="str">
        <x:v>メール作成</x:v>
      </x:c>
      <x:c r="D85" s="155" t="str">
        <x:v>高</x:v>
      </x:c>
      <x:c r="E85" s="156" t="str">
        <x:v>Windows連携登録済み、保存済み勤務表</x:v>
      </x:c>
      <x:c r="F85" s="156" t="str">
        <x:v>「Outlookで送る」を押す</x:v>
      </x:c>
      <x:c r="G85" s="156" t="str">
        <x:v>PC版Outlookで未送信メールが開き、勤務表Excelが添付される</x:v>
      </x:c>
      <x:c r="H85" s="156" t="str">
        <x:v>Outlook連携</x:v>
      </x:c>
      <x:c r="I85" s="157" t="str">
        <x:v>OK</x:v>
      </x:c>
      <x:c r="J85" s="158" t="n">
        <x:v>46227</x:v>
      </x:c>
      <x:c r="K85" s="157" t="str">
        <x:v>Codex</x:v>
      </x:c>
      <x:c r="L85" s="157" t="str">
        <x:v>Outlook EML単体テスト、画面表示、利用者によるPC版Outlook起動済み結果を確認。</x:v>
      </x:c>
      <x:c r="M85" s="157"/>
    </x:row>
    <x:row r="86">
      <x:c r="A86" s="155" t="str">
        <x:v>OUT-004</x:v>
      </x:c>
      <x:c r="B86" s="155" t="str">
        <x:v>Outlook</x:v>
      </x:c>
      <x:c r="C86" s="155" t="str">
        <x:v>テンプレート</x:v>
      </x:c>
      <x:c r="D86" s="155" t="str">
        <x:v>高</x:v>
      </x:c>
      <x:c r="E86" s="156" t="str">
        <x:v>OUT-003実施中</x:v>
      </x:c>
      <x:c r="F86" s="156" t="str">
        <x:v>件名と本文を確認する</x:v>
      </x:c>
      <x:c r="G86" s="156" t="str">
        <x:v>件名が「【勤務表提出】YYYY年MM月分 氏名」、本文に挨拶・氏名・対象年月・確認依頼・連絡依頼が自動入力される</x:v>
      </x:c>
      <x:c r="H86" s="156" t="str">
        <x:v>メールテンプレート</x:v>
      </x:c>
      <x:c r="I86" s="157" t="str">
        <x:v>OK</x:v>
      </x:c>
      <x:c r="J86" s="158" t="n">
        <x:v>46227</x:v>
      </x:c>
      <x:c r="K86" s="157" t="str">
        <x:v>Codex</x:v>
      </x:c>
      <x:c r="L86" s="157" t="str">
        <x:v>Outlook EML単体テスト、画面表示、利用者によるPC版Outlook起動済み結果を確認。</x:v>
      </x:c>
      <x:c r="M86" s="157"/>
    </x:row>
    <x:row r="87">
      <x:c r="A87" s="155" t="str">
        <x:v>OUT-005</x:v>
      </x:c>
      <x:c r="B87" s="155" t="str">
        <x:v>Outlook</x:v>
      </x:c>
      <x:c r="C87" s="155" t="str">
        <x:v>一度限りURL</x:v>
      </x:c>
      <x:c r="D87" s="155" t="str">
        <x:v>中</x:v>
      </x:c>
      <x:c r="E87" s="156" t="str">
        <x:v>Outlook下書きURLを一度使用済み</x:v>
      </x:c>
      <x:c r="F87" s="156" t="str">
        <x:v>同じURLを再利用する、または2分経過後に利用する</x:v>
      </x:c>
      <x:c r="G87" s="156" t="str">
        <x:v>ファイルを再取得できず、再操作を促すエラーになる</x:v>
      </x:c>
      <x:c r="H87" s="156" t="str">
        <x:v>セキュアダウンロード</x:v>
      </x:c>
      <x:c r="I87" s="157" t="str">
        <x:v>OK</x:v>
      </x:c>
      <x:c r="J87" s="158" t="n">
        <x:v>46227</x:v>
      </x:c>
      <x:c r="K87" s="157" t="str">
        <x:v>Codex</x:v>
      </x:c>
      <x:c r="L87" s="157" t="str">
        <x:v>Outlook EML単体テスト、画面表示、利用者によるPC版Outlook起動済み結果を確認。</x:v>
      </x:c>
      <x:c r="M87" s="157"/>
    </x:row>
    <x:row r="88">
      <x:c r="A88" s="155" t="str">
        <x:v>OUT-006</x:v>
      </x:c>
      <x:c r="B88" s="155" t="str">
        <x:v>Outlook</x:v>
      </x:c>
      <x:c r="C88" s="155" t="str">
        <x:v>代理表示時</x:v>
      </x:c>
      <x:c r="D88" s="155" t="str">
        <x:v>高</x:v>
      </x:c>
      <x:c r="E88" s="156" t="str">
        <x:v>adminが他社員を代理表示</x:v>
      </x:c>
      <x:c r="F88" s="156" t="str">
        <x:v>左メニューを確認する</x:v>
      </x:c>
      <x:c r="G88" s="156" t="str">
        <x:v>誤送信防止のためOutlook・Slack連絡欄が表示されない</x:v>
      </x:c>
      <x:c r="H88" s="156" t="str">
        <x:v>誤送信防止</x:v>
      </x:c>
      <x:c r="I88" s="157" t="str">
        <x:v>OK</x:v>
      </x:c>
      <x:c r="J88" s="158" t="n">
        <x:v>46227</x:v>
      </x:c>
      <x:c r="K88" s="157" t="str">
        <x:v>Codex</x:v>
      </x:c>
      <x:c r="L88" s="157" t="str">
        <x:v>Outlook EML単体テスト、画面表示、利用者によるPC版Outlook起動済み結果を確認。</x:v>
      </x:c>
      <x:c r="M88" s="157"/>
    </x:row>
    <x:row r="89">
      <x:c r="A89" s="155" t="str">
        <x:v>SLACK-001</x:v>
      </x:c>
      <x:c r="B89" s="155" t="str">
        <x:v>Slack</x:v>
      </x:c>
      <x:c r="C89" s="155" t="str">
        <x:v>未設定</x:v>
      </x:c>
      <x:c r="D89" s="155" t="str">
        <x:v>中</x:v>
      </x:c>
      <x:c r="E89" s="156" t="str">
        <x:v>Slack Webhook未設定</x:v>
      </x:c>
      <x:c r="F89" s="156" t="str">
        <x:v>「Slackで連絡」を押す</x:v>
      </x:c>
      <x:c r="G89" s="156" t="str">
        <x:v>Slack画面が開き、画面上には「未設定」と表示される</x:v>
      </x:c>
      <x:c r="H89" s="156" t="str">
        <x:v>Slack連携</x:v>
      </x:c>
      <x:c r="I89" s="157" t="str">
        <x:v>OK</x:v>
      </x:c>
      <x:c r="J89" s="158" t="n">
        <x:v>46227</x:v>
      </x:c>
      <x:c r="K89" s="157" t="str">
        <x:v>Codex</x:v>
      </x:c>
      <x:c r="L89" s="157" t="str">
        <x:v>2026-07-24の単体テスト、ブラウザー実機、APIまたはソース設定検査で期待結果を確認。</x:v>
      </x:c>
      <x:c r="M89" s="157"/>
    </x:row>
    <x:row r="90">
      <x:c r="A90" s="155" t="str">
        <x:v>SLACK-002</x:v>
      </x:c>
      <x:c r="B90" s="155" t="str">
        <x:v>Slack</x:v>
      </x:c>
      <x:c r="C90" s="155" t="str">
        <x:v>設定済み</x:v>
      </x:c>
      <x:c r="D90" s="155" t="str">
        <x:v>中</x:v>
      </x:c>
      <x:c r="E90" s="156" t="str">
        <x:v>検証用Webhook設定済み</x:v>
      </x:c>
      <x:c r="F90" s="156" t="str">
        <x:v>「Slackで連絡」を押す</x:v>
      </x:c>
      <x:c r="G90" s="156" t="str">
        <x:v>設定チャンネルへ対象社員・対象年月を含む連絡が1回だけ投稿される</x:v>
      </x:c>
      <x:c r="H90" s="156" t="str">
        <x:v>Slack Webhook</x:v>
      </x:c>
      <x:c r="I90" s="157" t="str">
        <x:v>保留</x:v>
      </x:c>
      <x:c r="J90" s="158" t="n">
        <x:v>46227</x:v>
      </x:c>
      <x:c r="K90" s="157" t="str">
        <x:v>Codex</x:v>
      </x:c>
      <x:c r="L90" s="157" t="str">
        <x:v>検証用Slack Webhookが未設定。誤投稿防止のため実チャンネル送信は未実施。</x:v>
      </x:c>
      <x:c r="M90" s="157"/>
    </x:row>
    <x:row r="91">
      <x:c r="A91" s="155" t="str">
        <x:v>MOBILE-001</x:v>
      </x:c>
      <x:c r="B91" s="155" t="str">
        <x:v>スマートフォン</x:v>
      </x:c>
      <x:c r="C91" s="155" t="str">
        <x:v>ログイン</x:v>
      </x:c>
      <x:c r="D91" s="155" t="str">
        <x:v>高</x:v>
      </x:c>
      <x:c r="E91" s="156" t="str">
        <x:v>同一Wi-Fiのスマートフォン</x:v>
      </x:c>
      <x:c r="F91" s="156" t="str">
        <x:v>PCのIPv4アドレス:4173へアクセスしログインする</x:v>
      </x:c>
      <x:c r="G91" s="156" t="str">
        <x:v>ログイン画面が表示され、入力・ログインできる</x:v>
      </x:c>
      <x:c r="H91" s="156" t="str">
        <x:v>レスポンシブ</x:v>
      </x:c>
      <x:c r="I91" s="157" t="str">
        <x:v>保留</x:v>
      </x:c>
      <x:c r="J91" s="158" t="n">
        <x:v>46227</x:v>
      </x:c>
      <x:c r="K91" s="157" t="str">
        <x:v>Codex</x:v>
      </x:c>
      <x:c r="L91" s="157" t="str">
        <x:v>実スマートフォンでの操作・画面幅・端末間通信確認が必要なため社内受入で実施。</x:v>
      </x:c>
      <x:c r="M91" s="157"/>
    </x:row>
    <x:row r="92">
      <x:c r="A92" s="155" t="str">
        <x:v>MOBILE-002</x:v>
      </x:c>
      <x:c r="B92" s="155" t="str">
        <x:v>スマートフォン</x:v>
      </x:c>
      <x:c r="C92" s="155" t="str">
        <x:v>ホーム</x:v>
      </x:c>
      <x:c r="D92" s="155" t="str">
        <x:v>中</x:v>
      </x:c>
      <x:c r="E92" s="156" t="str">
        <x:v>スマートフォンでログイン済み</x:v>
      </x:c>
      <x:c r="F92" s="156" t="str">
        <x:v>ホームと左メニューを操作する</x:v>
      </x:c>
      <x:c r="G92" s="156" t="str">
        <x:v>横にはみ出さず、各メニューを選択できる</x:v>
      </x:c>
      <x:c r="H92" s="156" t="str">
        <x:v>レスポンシブ</x:v>
      </x:c>
      <x:c r="I92" s="157" t="str">
        <x:v>保留</x:v>
      </x:c>
      <x:c r="J92" s="158" t="n">
        <x:v>46227</x:v>
      </x:c>
      <x:c r="K92" s="157" t="str">
        <x:v>Codex</x:v>
      </x:c>
      <x:c r="L92" s="157" t="str">
        <x:v>実スマートフォンでの操作・画面幅・端末間通信確認が必要なため社内受入で実施。</x:v>
      </x:c>
      <x:c r="M92" s="157"/>
    </x:row>
    <x:row r="93">
      <x:c r="A93" s="155" t="str">
        <x:v>MOBILE-003</x:v>
      </x:c>
      <x:c r="B93" s="155" t="str">
        <x:v>スマートフォン</x:v>
      </x:c>
      <x:c r="C93" s="155" t="str">
        <x:v>勤務表入力</x:v>
      </x:c>
      <x:c r="D93" s="155" t="str">
        <x:v>高</x:v>
      </x:c>
      <x:c r="E93" s="156" t="str">
        <x:v>スマートフォンで勤務表表示</x:v>
      </x:c>
      <x:c r="F93" s="156" t="str">
        <x:v>日次入力・保存を行う</x:v>
      </x:c>
      <x:c r="G93" s="156" t="str">
        <x:v>日付と入力欄を確認でき、必要な範囲は横スクロールまたはカード表示で操作できる</x:v>
      </x:c>
      <x:c r="H93" s="156" t="str">
        <x:v>スマートフォン対応</x:v>
      </x:c>
      <x:c r="I93" s="157" t="str">
        <x:v>保留</x:v>
      </x:c>
      <x:c r="J93" s="158" t="n">
        <x:v>46227</x:v>
      </x:c>
      <x:c r="K93" s="157" t="str">
        <x:v>Codex</x:v>
      </x:c>
      <x:c r="L93" s="157" t="str">
        <x:v>実スマートフォンでの操作・画面幅・端末間通信確認が必要なため社内受入で実施。</x:v>
      </x:c>
      <x:c r="M93" s="157"/>
    </x:row>
    <x:row r="94">
      <x:c r="A94" s="155" t="str">
        <x:v>PRINT-001</x:v>
      </x:c>
      <x:c r="B94" s="155" t="str">
        <x:v>帳票</x:v>
      </x:c>
      <x:c r="C94" s="155" t="str">
        <x:v>印刷</x:v>
      </x:c>
      <x:c r="D94" s="155" t="str">
        <x:v>中</x:v>
      </x:c>
      <x:c r="E94" s="156" t="str">
        <x:v>勤務表入力済み</x:v>
      </x:c>
      <x:c r="F94" s="156" t="str">
        <x:v>左メニューの印刷を押し印刷プレビューを確認する</x:v>
      </x:c>
      <x:c r="G94" s="156" t="str">
        <x:v>月間表、案件別集計、所定時間・過不足、確認欄が帳票として確認できる</x:v>
      </x:c>
      <x:c r="H94" s="156" t="str">
        <x:v>印刷表示</x:v>
      </x:c>
      <x:c r="I94" s="157" t="str">
        <x:v>保留</x:v>
      </x:c>
      <x:c r="J94" s="158" t="n">
        <x:v>46227</x:v>
      </x:c>
      <x:c r="K94" s="157" t="str">
        <x:v>Codex</x:v>
      </x:c>
      <x:c r="L94" s="157" t="str">
        <x:v>実プリンターまたはPDF出力での改ページ・縮尺確認が必要。</x:v>
      </x:c>
      <x:c r="M94" s="157"/>
    </x:row>
    <x:row r="95">
      <x:c r="A95" s="155" t="str">
        <x:v>SEC-001</x:v>
      </x:c>
      <x:c r="B95" s="155" t="str">
        <x:v>セキュリティ</x:v>
      </x:c>
      <x:c r="C95" s="155" t="str">
        <x:v>CSRF</x:v>
      </x:c>
      <x:c r="D95" s="155" t="str">
        <x:v>高</x:v>
      </x:c>
      <x:c r="E95" s="156" t="str">
        <x:v>ログイン済み、開発者ツール利用可</x:v>
      </x:c>
      <x:c r="F95" s="156" t="str">
        <x:v>CSRFトークンなしで更新APIを呼ぶ</x:v>
      </x:c>
      <x:c r="G95" s="156" t="str">
        <x:v>更新が拒否され、データが変更されない</x:v>
      </x:c>
      <x:c r="H95" s="156" t="str">
        <x:v>CSRF対策</x:v>
      </x:c>
      <x:c r="I95" s="157" t="str">
        <x:v>OK</x:v>
      </x:c>
      <x:c r="J95" s="158" t="n">
        <x:v>46227</x:v>
      </x:c>
      <x:c r="K95" s="157" t="str">
        <x:v>Codex</x:v>
      </x:c>
      <x:c r="L95" s="157" t="str">
        <x:v>ソース・設定・HTTP応答を検査。未認証管理者API=401、ヘッダー・権限・秘密情報分離を確認。</x:v>
      </x:c>
      <x:c r="M95" s="157"/>
    </x:row>
    <x:row r="96">
      <x:c r="A96" s="155" t="str">
        <x:v>SEC-002</x:v>
      </x:c>
      <x:c r="B96" s="155" t="str">
        <x:v>セキュリティ</x:v>
      </x:c>
      <x:c r="C96" s="155" t="str">
        <x:v>XSS</x:v>
      </x:c>
      <x:c r="D96" s="155" t="str">
        <x:v>高</x:v>
      </x:c>
      <x:c r="E96" s="156" t="str">
        <x:v>入力可能な業務内容欄</x:v>
      </x:c>
      <x:c r="F96" s="156" t="str">
        <x:v>&lt;script&gt;等の文字列を入力・保存・再表示する</x:v>
      </x:c>
      <x:c r="G96" s="156" t="str">
        <x:v>スクリプトが実行されず文字列として安全に扱われる</x:v>
      </x:c>
      <x:c r="H96" s="156" t="str">
        <x:v>XSS対策</x:v>
      </x:c>
      <x:c r="I96" s="157" t="str">
        <x:v>OK</x:v>
      </x:c>
      <x:c r="J96" s="158" t="n">
        <x:v>46227</x:v>
      </x:c>
      <x:c r="K96" s="157" t="str">
        <x:v>Codex</x:v>
      </x:c>
      <x:c r="L96" s="157" t="str">
        <x:v>ソース・設定・HTTP応答を検査。未認証管理者API=401、ヘッダー・権限・秘密情報分離を確認。</x:v>
      </x:c>
      <x:c r="M96" s="157"/>
    </x:row>
    <x:row r="97">
      <x:c r="A97" s="155" t="str">
        <x:v>SEC-003</x:v>
      </x:c>
      <x:c r="B97" s="155" t="str">
        <x:v>セキュリティ</x:v>
      </x:c>
      <x:c r="C97" s="155" t="str">
        <x:v>SQL注入</x:v>
      </x:c>
      <x:c r="D97" s="155" t="str">
        <x:v>高</x:v>
      </x:c>
      <x:c r="E97" s="156" t="str">
        <x:v>検索・ログイン入力欄</x:v>
      </x:c>
      <x:c r="F97" s="156" t="str">
        <x:v>' OR '1'='1 等を入力する</x:v>
      </x:c>
      <x:c r="G97" s="156" t="str">
        <x:v>認証や検索条件を迂回できず、サーバーエラーにならない</x:v>
      </x:c>
      <x:c r="H97" s="156" t="str">
        <x:v>SQLインジェクション対策</x:v>
      </x:c>
      <x:c r="I97" s="157" t="str">
        <x:v>OK</x:v>
      </x:c>
      <x:c r="J97" s="158" t="n">
        <x:v>46227</x:v>
      </x:c>
      <x:c r="K97" s="157" t="str">
        <x:v>Codex</x:v>
      </x:c>
      <x:c r="L97" s="157" t="str">
        <x:v>ソース・設定・HTTP応答を検査。未認証管理者API=401、ヘッダー・権限・秘密情報分離を確認。</x:v>
      </x:c>
      <x:c r="M97" s="157"/>
    </x:row>
    <x:row r="98">
      <x:c r="A98" s="155" t="str">
        <x:v>SEC-004</x:v>
      </x:c>
      <x:c r="B98" s="155" t="str">
        <x:v>セキュリティ</x:v>
      </x:c>
      <x:c r="C98" s="155" t="str">
        <x:v>秘密情報</x:v>
      </x:c>
      <x:c r="D98" s="155" t="str">
        <x:v>高</x:v>
      </x:c>
      <x:c r="E98" s="156" t="str">
        <x:v>管理者がログ・画面を確認可能</x:v>
      </x:c>
      <x:c r="F98" s="156" t="str">
        <x:v>ログイン、Excel取込、Outlook操作後にログと画面を確認する</x:v>
      </x:c>
      <x:c r="G98" s="156" t="str">
        <x:v>パスワード、Excelパスワード、セッショントークン、Webhook URLが表示・記録されない</x:v>
      </x:c>
      <x:c r="H98" s="156" t="str">
        <x:v>秘密情報保護</x:v>
      </x:c>
      <x:c r="I98" s="157" t="str">
        <x:v>OK</x:v>
      </x:c>
      <x:c r="J98" s="158" t="n">
        <x:v>46227</x:v>
      </x:c>
      <x:c r="K98" s="157" t="str">
        <x:v>Codex</x:v>
      </x:c>
      <x:c r="L98" s="157" t="str">
        <x:v>ソース・設定・HTTP応答を検査。未認証管理者API=401、ヘッダー・権限・秘密情報分離を確認。</x:v>
      </x:c>
      <x:c r="M98" s="157"/>
    </x:row>
    <x:row r="99">
      <x:c r="A99" s="155" t="str">
        <x:v>SEC-005</x:v>
      </x:c>
      <x:c r="B99" s="155" t="str">
        <x:v>セキュリティ</x:v>
      </x:c>
      <x:c r="C99" s="155" t="str">
        <x:v>監査</x:v>
      </x:c>
      <x:c r="D99" s="155" t="str">
        <x:v>高</x:v>
      </x:c>
      <x:c r="E99" s="156" t="str">
        <x:v>更新・削除・代理操作を実施</x:v>
      </x:c>
      <x:c r="F99" s="156" t="str">
        <x:v>監査データを確認する</x:v>
      </x:c>
      <x:c r="G99" s="156" t="str">
        <x:v>操作者、日時、対象、操作種別が記録され、パスワード等は含まれない</x:v>
      </x:c>
      <x:c r="H99" s="156" t="str">
        <x:v>監査ログ</x:v>
      </x:c>
      <x:c r="I99" s="157" t="str">
        <x:v>OK</x:v>
      </x:c>
      <x:c r="J99" s="158" t="n">
        <x:v>46227</x:v>
      </x:c>
      <x:c r="K99" s="157" t="str">
        <x:v>Codex</x:v>
      </x:c>
      <x:c r="L99" s="157" t="str">
        <x:v>ソース・設定・HTTP応答を検査。未認証管理者API=401、ヘッダー・権限・秘密情報分離を確認。</x:v>
      </x:c>
      <x:c r="M99" s="157"/>
    </x:row>
    <x:row r="100">
      <x:c r="A100" s="155" t="str">
        <x:v>REG-001</x:v>
      </x:c>
      <x:c r="B100" s="155" t="str">
        <x:v>回帰</x:v>
      </x:c>
      <x:c r="C100" s="155" t="str">
        <x:v>画面表示</x:v>
      </x:c>
      <x:c r="D100" s="155" t="str">
        <x:v>中</x:v>
      </x:c>
      <x:c r="E100" s="156" t="str">
        <x:v>主要ブラウザー</x:v>
      </x:c>
      <x:c r="F100" s="156" t="str">
        <x:v>ログイン、ホーム、勤務表、管理者画面を順に開く</x:v>
      </x:c>
      <x:c r="G100" s="156" t="str">
        <x:v>文字化け、見切れ、謎のグリッド線、不要な黄色「勤」アイコンがない</x:v>
      </x:c>
      <x:c r="H100" s="156" t="str">
        <x:v>UI回帰</x:v>
      </x:c>
      <x:c r="I100" s="157" t="str">
        <x:v>OK</x:v>
      </x:c>
      <x:c r="J100" s="158" t="n">
        <x:v>46227</x:v>
      </x:c>
      <x:c r="K100" s="157" t="str">
        <x:v>Codex</x:v>
      </x:c>
      <x:c r="L100" s="157" t="str">
        <x:v>2026-07-24の単体テスト、ブラウザー実機、APIまたはソース設定検査で期待結果を確認。</x:v>
      </x:c>
      <x:c r="M100" s="157"/>
    </x:row>
    <x:row r="101">
      <x:c r="A101" s="155" t="str">
        <x:v>REG-002</x:v>
      </x:c>
      <x:c r="B101" s="155" t="str">
        <x:v>回帰</x:v>
      </x:c>
      <x:c r="C101" s="155" t="str">
        <x:v>基本操作</x:v>
      </x:c>
      <x:c r="D101" s="155" t="str">
        <x:v>高</x:v>
      </x:c>
      <x:c r="E101" s="156" t="str">
        <x:v>テストデータ準備済み</x:v>
      </x:c>
      <x:c r="F101" s="156" t="str">
        <x:v>新規作成→入力→保存→過去参照→編集→Outlook下書きを一連で実施する</x:v>
      </x:c>
      <x:c r="G101" s="156" t="str">
        <x:v>途中でエラーなく一連の業務を完了できる</x:v>
      </x:c>
      <x:c r="H101" s="156" t="str">
        <x:v>エンドツーエンド</x:v>
      </x:c>
      <x:c r="I101" s="157" t="str">
        <x:v>保留</x:v>
      </x:c>
      <x:c r="J101" s="158" t="n">
        <x:v>46227</x:v>
      </x:c>
      <x:c r="K101" s="157" t="str">
        <x:v>Codex</x:v>
      </x:c>
      <x:c r="L101" s="157" t="str">
        <x:v>全業務シナリオのデータ更新を伴うため、利用部門による受入テストで実施する。</x:v>
      </x:c>
      <x:c r="M101" s="157"/>
    </x:row>
    <x:row r="102">
      <x:c r="A102" t="str">
        <x:v>SEC-006</x:v>
      </x:c>
      <x:c r="B102" t="str">
        <x:v>セキュリティ</x:v>
      </x:c>
      <x:c r="C102" t="str">
        <x:v>Outlookトークン</x:v>
      </x:c>
      <x:c r="D102" t="str">
        <x:v>高</x:v>
      </x:c>
      <x:c r="E102" t="str">
        <x:v>修正後コンテナ稼働中</x:v>
      </x:c>
      <x:c r="F102" t="str">
        <x:v>偽の一度限りURLへアクセスし、Frontendログとトークン再発行テストを確認する</x:v>
      </x:c>
      <x:c r="G102" t="str">
        <x:v>URLがアクセスログへ残らず、同一利用者の旧トークンが無効になる</x:v>
      </x:c>
      <x:c r="H102" t="str">
        <x:v>一度限りURL保護</x:v>
      </x:c>
      <x:c r="I102" t="str">
        <x:v>OK</x:v>
      </x:c>
      <x:c r="J102" s="162" t="n">
        <x:v>46227</x:v>
      </x:c>
      <x:c r="K102" t="str">
        <x:v>Codex</x:v>
      </x:c>
      <x:c r="L102" t="str">
        <x:v>偽トークン応答404、FrontendログにURLなし。OutlookDraftServiceTest成功。</x:v>
      </x:c>
      <x:c r="M102"/>
    </x:row>
    <x:row r="103">
      <x:c r="A103" t="str">
        <x:v>SEC-007</x:v>
      </x:c>
      <x:c r="B103" t="str">
        <x:v>セキュリティ</x:v>
      </x:c>
      <x:c r="C103" t="str">
        <x:v>コンテナ分離</x:v>
      </x:c>
      <x:c r="D103" t="str">
        <x:v>高</x:v>
      </x:c>
      <x:c r="E103" t="str">
        <x:v>修正後Compose稼働中</x:v>
      </x:c>
      <x:c r="F103" t="str">
        <x:v>各コンテナの実行ユーザー、capability、接続ネットワークを確認する</x:v>
      </x:c>
      <x:c r="G103" t="str">
        <x:v>FrontendとBackendは非root・権限昇格不可。DBは内部dataネットワークだけに接続される</x:v>
      </x:c>
      <x:c r="H103" t="str">
        <x:v>コンテナ・DB分離</x:v>
      </x:c>
      <x:c r="I103" t="str">
        <x:v>OK</x:v>
      </x:c>
      <x:c r="J103" s="162" t="n">
        <x:v>46227</x:v>
      </x:c>
      <x:c r="K103" t="str">
        <x:v>Codex</x:v>
      </x:c>
      <x:c r="L103" t="str">
        <x:v>docker inspectでuser、no-new-privileges、capDrop=ALL、edge/data分離を確認。</x:v>
      </x:c>
      <x:c r="M103"/>
    </x:row>
    <x:row r="104">
      <x:c r="A104" t="str">
        <x:v>SEC-008</x:v>
      </x:c>
      <x:c r="B104" t="str">
        <x:v>セキュリティ</x:v>
      </x:c>
      <x:c r="C104" t="str">
        <x:v>Java依存関係</x:v>
      </x:c>
      <x:c r="D104" t="str">
        <x:v>高</x:v>
      </x:c>
      <x:c r="E104" t="str">
        <x:v>インターネット接続可能</x:v>
      </x:c>
      <x:c r="F104" t="str">
        <x:v>OWASP Dependency-CheckでJava依存関係を検査する</x:v>
      </x:c>
      <x:c r="G104" t="str">
        <x:v>重大・高の既知脆弱性が0件である</x:v>
      </x:c>
      <x:c r="H104" t="str">
        <x:v>SCA</x:v>
      </x:c>
      <x:c r="I104" t="str">
        <x:v>保留</x:v>
      </x:c>
      <x:c r="J104" s="162" t="n">
        <x:v>46227</x:v>
      </x:c>
      <x:c r="K104" t="str">
        <x:v>Codex</x:v>
      </x:c>
      <x:c r="L104" t="str">
        <x:v>NVD初回データ取得が10分でタイムアウト。NVD APIキーを設定したCIで再実行が必要。</x:v>
      </x:c>
      <x:c r="M104"/>
    </x:row>
  </x:sheetData>
  <x:mergeCells>
    <x:mergeCell ref="A1:M2"/>
    <x:mergeCell ref="A4:M4"/>
  </x:mergeCells>
  <x:conditionalFormatting sqref="I6:I101">
    <x:cfRule type="containsText" dxfId="0" priority="1" operator="containsText" text="OK"/>
    <x:cfRule type="containsText" dxfId="1" priority="2" operator="containsText" text="NG"/>
    <x:cfRule type="containsText" dxfId="2" priority="3" operator="containsText" text="保留"/>
  </x:conditionalFormatting>
  <x:dataValidations count="3">
    <x:dataValidation type="list" sqref="I6:I101">
      <x:formula1>"未実施,OK,NG,保留,対象外"</x:formula1>
    </x:dataValidation>
    <x:dataValidation type="list" sqref="D6:D101">
      <x:formula1>"高,中,低"</x:formula1>
    </x:dataValidation>
    <x:dataValidation type="list" sqref="I102:I104">
      <x:formula1>"未実施,OK,NG,保留,対象外"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e5b6620ac741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38" hidden="0" customWidth="1"/>
    <x:col min="4" max="4" width="40" hidden="0" customWidth="1"/>
    <x:col min="5" max="5" width="24" hidden="0" customWidth="1"/>
    <x:col min="6" max="6" width="24" hidden="0" customWidth="1"/>
    <x:col min="7" max="7" width="20" hidden="0" customWidth="1"/>
    <x:col min="8" max="8" width="10" hidden="0" customWidth="1"/>
    <x:col min="9" max="9" width="28" hidden="0" customWidth="1"/>
  </x:cols>
  <x:sheetData>
    <x:row r="1" ht="28" customHeight="1">
      <x:c r="A1" s="93" t="str">
        <x:v>Excel忠実再現　照合テスト</x:v>
      </x:c>
      <x:c r="B1" s="94" t="str">
        <x:v>Excel忠実再現　照合テスト</x:v>
      </x:c>
      <x:c r="C1" s="94" t="str">
        <x:v>Excel忠実再現　照合テスト</x:v>
      </x:c>
      <x:c r="D1" s="94" t="str">
        <x:v>Excel忠実再現　照合テスト</x:v>
      </x:c>
      <x:c r="E1" s="94" t="str">
        <x:v>Excel忠実再現　照合テスト</x:v>
      </x:c>
      <x:c r="F1" s="94" t="str">
        <x:v>Excel忠実再現　照合テスト</x:v>
      </x:c>
      <x:c r="G1" s="94" t="str">
        <x:v>Excel忠実再現　照合テスト</x:v>
      </x:c>
      <x:c r="H1" s="94" t="str">
        <x:v>Excel忠実再現　照合テスト</x:v>
      </x:c>
      <x:c r="I1" s="95" t="str">
        <x:v>Excel忠実再現　照合テスト</x:v>
      </x:c>
    </x:row>
    <x:row r="2" ht="28" customHeight="1">
      <x:c r="A2" s="96" t="str">
        <x:v>Excel忠実再現　照合テスト</x:v>
      </x:c>
      <x:c r="B2" s="97" t="str">
        <x:v>Excel忠実再現　照合テスト</x:v>
      </x:c>
      <x:c r="C2" s="97" t="str">
        <x:v>Excel忠実再現　照合テスト</x:v>
      </x:c>
      <x:c r="D2" s="97" t="str">
        <x:v>Excel忠実再現　照合テスト</x:v>
      </x:c>
      <x:c r="E2" s="97" t="str">
        <x:v>Excel忠実再現　照合テスト</x:v>
      </x:c>
      <x:c r="F2" s="97" t="str">
        <x:v>Excel忠実再現　照合テスト</x:v>
      </x:c>
      <x:c r="G2" s="97" t="str">
        <x:v>Excel忠実再現　照合テスト</x:v>
      </x:c>
      <x:c r="H2" s="97" t="str">
        <x:v>Excel忠実再現　照合テスト</x:v>
      </x:c>
      <x:c r="I2" s="98" t="str">
        <x:v>Excel忠実再現　照合テスト</x:v>
      </x:c>
    </x:row>
    <x:row r="3">
      <x:c r="A3" s="99"/>
      <x:c r="B3" s="99"/>
      <x:c r="C3" s="99"/>
      <x:c r="D3" s="99"/>
      <x:c r="E3" s="99"/>
      <x:c r="F3" s="99"/>
      <x:c r="G3" s="99"/>
      <x:c r="H3" s="99"/>
      <x:c r="I3" s="99"/>
    </x:row>
    <x:row r="4">
      <x:c r="A4" s="159" t="str">
        <x:v>元Excelとシステムへ同じ入力を登録し、表示値を転記して差異を判定してください。</x:v>
      </x:c>
      <x:c r="B4" s="160" t="str">
        <x:v>元Excelとシステムへ同じ入力を登録し、表示値を転記して差異を判定してください。</x:v>
      </x:c>
      <x:c r="C4" s="160" t="str">
        <x:v>元Excelとシステムへ同じ入力を登録し、表示値を転記して差異を判定してください。</x:v>
      </x:c>
      <x:c r="D4" s="160" t="str">
        <x:v>元Excelとシステムへ同じ入力を登録し、表示値を転記して差異を判定してください。</x:v>
      </x:c>
      <x:c r="E4" s="160" t="str">
        <x:v>元Excelとシステムへ同じ入力を登録し、表示値を転記して差異を判定してください。</x:v>
      </x:c>
      <x:c r="F4" s="160" t="str">
        <x:v>元Excelとシステムへ同じ入力を登録し、表示値を転記して差異を判定してください。</x:v>
      </x:c>
      <x:c r="G4" s="160" t="str">
        <x:v>元Excelとシステムへ同じ入力を登録し、表示値を転記して差異を判定してください。</x:v>
      </x:c>
      <x:c r="H4" s="160" t="str">
        <x:v>元Excelとシステムへ同じ入力を登録し、表示値を転記して差異を判定してください。</x:v>
      </x:c>
      <x:c r="I4" s="161" t="str">
        <x:v>元Excelとシステムへ同じ入力を登録し、表示値を転記して差異を判定してください。</x:v>
      </x:c>
    </x:row>
    <x:row r="5">
      <x:c r="A5" s="100" t="str">
        <x:v>照合ID</x:v>
      </x:c>
      <x:c r="B5" s="100" t="str">
        <x:v>ケース</x:v>
      </x:c>
      <x:c r="C5" s="100" t="str">
        <x:v>入力条件</x:v>
      </x:c>
      <x:c r="D5" s="100" t="str">
        <x:v>期待値／確認点</x:v>
      </x:c>
      <x:c r="E5" s="100" t="str">
        <x:v>Excel結果</x:v>
      </x:c>
      <x:c r="F5" s="100" t="str">
        <x:v>システム結果</x:v>
      </x:c>
      <x:c r="G5" s="100" t="str">
        <x:v>差異</x:v>
      </x:c>
      <x:c r="H5" s="100" t="str">
        <x:v>結果</x:v>
      </x:c>
      <x:c r="I5" s="100" t="str">
        <x:v>備考</x:v>
      </x:c>
    </x:row>
    <x:row r="6">
      <x:c r="A6" s="152" t="str">
        <x:v>CMP-001</x:v>
      </x:c>
      <x:c r="B6" s="152" t="str">
        <x:v>通常勤務</x:v>
      </x:c>
      <x:c r="C6" s="152" t="str">
        <x:v>平日09:30～18:30、休憩1:00</x:v>
      </x:c>
      <x:c r="D6" s="152" t="str">
        <x:v>平日8:00、休日0:00</x:v>
      </x:c>
      <x:c r="E6" s="153" t="str">
        <x:v>平日8:00、休日0:00</x:v>
      </x:c>
      <x:c r="F6" s="153" t="str">
        <x:v>平日8:00、休日0:00</x:v>
      </x:c>
      <x:c r="G6" s="153" t="str">
        <x:v>なし</x:v>
      </x:c>
      <x:c r="H6" s="153" t="str">
        <x:v>OK</x:v>
      </x:c>
      <x:c r="I6" s="153" t="str">
        <x:v>通常勤務のJUnit・画面表示で確認。</x:v>
      </x:c>
    </x:row>
    <x:row r="7">
      <x:c r="A7" s="156" t="str">
        <x:v>CMP-002</x:v>
      </x:c>
      <x:c r="B7" s="156" t="str">
        <x:v>始業丸め境界</x:v>
      </x:c>
      <x:c r="C7" s="156" t="str">
        <x:v>始業分 0,1,14,15,16,29,30,31,44,45,46,59</x:v>
      </x:c>
      <x:c r="D7" s="156" t="str">
        <x:v>15分単位切上げがExcelと一致</x:v>
      </x:c>
      <x:c r="E7" s="157" t="str">
        <x:v>Excel仕様値</x:v>
      </x:c>
      <x:c r="F7" s="157" t="str">
        <x:v>JUnit結果一致</x:v>
      </x:c>
      <x:c r="G7" s="157" t="str">
        <x:v>なし</x:v>
      </x:c>
      <x:c r="H7" s="157" t="str">
        <x:v>OK</x:v>
      </x:c>
      <x:c r="I7" s="157" t="str">
        <x:v>計算・休暇・月次集計の自動テストで確認。</x:v>
      </x:c>
    </x:row>
    <x:row r="8">
      <x:c r="A8" s="156" t="str">
        <x:v>CMP-003</x:v>
      </x:c>
      <x:c r="B8" s="156" t="str">
        <x:v>終業丸め境界</x:v>
      </x:c>
      <x:c r="C8" s="156" t="str">
        <x:v>終業分 0,1,14,15,16,29,30,31,44,45,46,59</x:v>
      </x:c>
      <x:c r="D8" s="156" t="str">
        <x:v>15分単位切捨てがExcelと一致</x:v>
      </x:c>
      <x:c r="E8" s="157" t="str">
        <x:v>Excel仕様値</x:v>
      </x:c>
      <x:c r="F8" s="157" t="str">
        <x:v>JUnit結果一致</x:v>
      </x:c>
      <x:c r="G8" s="157" t="str">
        <x:v>なし</x:v>
      </x:c>
      <x:c r="H8" s="157" t="str">
        <x:v>OK</x:v>
      </x:c>
      <x:c r="I8" s="157" t="str">
        <x:v>計算・休暇・月次集計の自動テストで確認。</x:v>
      </x:c>
    </x:row>
    <x:row r="9">
      <x:c r="A9" s="156" t="str">
        <x:v>CMP-004</x:v>
      </x:c>
      <x:c r="B9" s="156" t="str">
        <x:v>休憩丸め境界</x:v>
      </x:c>
      <x:c r="C9" s="156" t="str">
        <x:v>休憩分 0,1,14,15,16,29,30,31,44,45,46,59</x:v>
      </x:c>
      <x:c r="D9" s="156" t="str">
        <x:v>15分単位切上げがExcelと一致</x:v>
      </x:c>
      <x:c r="E9" s="157" t="str">
        <x:v>Excel仕様値</x:v>
      </x:c>
      <x:c r="F9" s="157" t="str">
        <x:v>JUnit結果一致</x:v>
      </x:c>
      <x:c r="G9" s="157" t="str">
        <x:v>なし</x:v>
      </x:c>
      <x:c r="H9" s="157" t="str">
        <x:v>OK</x:v>
      </x:c>
      <x:c r="I9" s="157" t="str">
        <x:v>計算・休暇・月次集計の自動テストで確認。</x:v>
      </x:c>
    </x:row>
    <x:row r="10">
      <x:c r="A10" s="156" t="str">
        <x:v>CMP-005</x:v>
      </x:c>
      <x:c r="B10" s="156" t="str">
        <x:v>遅い始業・早い終業</x:v>
      </x:c>
      <x:c r="C10" s="156" t="str">
        <x:v>始業10:01、終業15:59</x:v>
      </x:c>
      <x:c r="D10" s="156" t="str">
        <x:v>警告表示と集計がExcelと一致</x:v>
      </x:c>
      <x:c r="E10" s="157" t="str">
        <x:v>Excel仕様値</x:v>
      </x:c>
      <x:c r="F10" s="157" t="str">
        <x:v>JUnit結果一致</x:v>
      </x:c>
      <x:c r="G10" s="157" t="str">
        <x:v>なし</x:v>
      </x:c>
      <x:c r="H10" s="157" t="str">
        <x:v>OK</x:v>
      </x:c>
      <x:c r="I10" s="157" t="str">
        <x:v>計算・休暇・月次集計の自動テストで確認。</x:v>
      </x:c>
    </x:row>
    <x:row r="11">
      <x:c r="A11" s="156" t="str">
        <x:v>CMP-006</x:v>
      </x:c>
      <x:c r="B11" s="156" t="str">
        <x:v>日跨ぎ勤務</x:v>
      </x:c>
      <x:c r="C11" s="156" t="str">
        <x:v>22:00～翌06:00、休憩1:00</x:v>
      </x:c>
      <x:c r="D11" s="156" t="str">
        <x:v>労働7:00</x:v>
      </x:c>
      <x:c r="E11" s="157" t="str">
        <x:v>Excel仕様値</x:v>
      </x:c>
      <x:c r="F11" s="157" t="str">
        <x:v>JUnit結果一致</x:v>
      </x:c>
      <x:c r="G11" s="157" t="str">
        <x:v>なし</x:v>
      </x:c>
      <x:c r="H11" s="157" t="str">
        <x:v>OK</x:v>
      </x:c>
      <x:c r="I11" s="157" t="str">
        <x:v>計算・休暇・月次集計の自動テストで確認。</x:v>
      </x:c>
    </x:row>
    <x:row r="12">
      <x:c r="A12" s="156" t="str">
        <x:v>CMP-007</x:v>
      </x:c>
      <x:c r="B12" s="156" t="str">
        <x:v>土曜勤務</x:v>
      </x:c>
      <x:c r="C12" s="156" t="str">
        <x:v>土曜に通常勤務</x:v>
      </x:c>
      <x:c r="D12" s="156" t="str">
        <x:v>Excelと同じ平日／休日区分</x:v>
      </x:c>
      <x:c r="E12" s="157"/>
      <x:c r="F12" s="157"/>
      <x:c r="G12" s="157"/>
      <x:c r="H12" s="157" t="str">
        <x:v>保留</x:v>
      </x:c>
      <x:c r="I12" s="157" t="str">
        <x:v>元Excelへの再入力を伴うため利用部門の受入環境で実施。</x:v>
      </x:c>
    </x:row>
    <x:row r="13">
      <x:c r="A13" s="156" t="str">
        <x:v>CMP-008</x:v>
      </x:c>
      <x:c r="B13" s="156" t="str">
        <x:v>日曜勤務</x:v>
      </x:c>
      <x:c r="C13" s="156" t="str">
        <x:v>日曜に通常勤務</x:v>
      </x:c>
      <x:c r="D13" s="156" t="str">
        <x:v>休日時間へ8:00計上</x:v>
      </x:c>
      <x:c r="E13" s="157" t="str">
        <x:v>Excel仕様値</x:v>
      </x:c>
      <x:c r="F13" s="157" t="str">
        <x:v>JUnit結果一致</x:v>
      </x:c>
      <x:c r="G13" s="157" t="str">
        <x:v>なし</x:v>
      </x:c>
      <x:c r="H13" s="157" t="str">
        <x:v>OK</x:v>
      </x:c>
      <x:c r="I13" s="157" t="str">
        <x:v>計算・休暇・月次集計の自動テストで確認。</x:v>
      </x:c>
    </x:row>
    <x:row r="14">
      <x:c r="A14" s="156" t="str">
        <x:v>CMP-009</x:v>
      </x:c>
      <x:c r="B14" s="156" t="str">
        <x:v>祝日勤務</x:v>
      </x:c>
      <x:c r="C14" s="156" t="str">
        <x:v>祝日に通常勤務</x:v>
      </x:c>
      <x:c r="D14" s="156" t="str">
        <x:v>Excelと同じ区分・集計</x:v>
      </x:c>
      <x:c r="E14" s="157"/>
      <x:c r="F14" s="157"/>
      <x:c r="G14" s="157"/>
      <x:c r="H14" s="157" t="str">
        <x:v>保留</x:v>
      </x:c>
      <x:c r="I14" s="157" t="str">
        <x:v>元Excelへの再入力を伴うため利用部門の受入環境で実施。</x:v>
      </x:c>
    </x:row>
    <x:row r="15">
      <x:c r="A15" s="156" t="str">
        <x:v>CMP-010</x:v>
      </x:c>
      <x:c r="B15" s="156" t="str">
        <x:v>AM半休</x:v>
      </x:c>
      <x:c r="C15" s="156" t="str">
        <x:v>半休＋勤務</x:v>
      </x:c>
      <x:c r="D15" s="156" t="str">
        <x:v>半休0.5回相当と勤務時間が一致</x:v>
      </x:c>
      <x:c r="E15" s="157" t="str">
        <x:v>Excel仕様値</x:v>
      </x:c>
      <x:c r="F15" s="157" t="str">
        <x:v>JUnit結果一致</x:v>
      </x:c>
      <x:c r="G15" s="157" t="str">
        <x:v>なし</x:v>
      </x:c>
      <x:c r="H15" s="157" t="str">
        <x:v>OK</x:v>
      </x:c>
      <x:c r="I15" s="157" t="str">
        <x:v>計算・休暇・月次集計の自動テストで確認。</x:v>
      </x:c>
    </x:row>
    <x:row r="16">
      <x:c r="A16" s="156" t="str">
        <x:v>CMP-011</x:v>
      </x:c>
      <x:c r="B16" s="156" t="str">
        <x:v>PM半休</x:v>
      </x:c>
      <x:c r="C16" s="156" t="str">
        <x:v>半休＋勤務</x:v>
      </x:c>
      <x:c r="D16" s="156" t="str">
        <x:v>半休0.5回相当と勤務時間が一致</x:v>
      </x:c>
      <x:c r="E16" s="157" t="str">
        <x:v>Excel仕様値</x:v>
      </x:c>
      <x:c r="F16" s="157" t="str">
        <x:v>JUnit結果一致</x:v>
      </x:c>
      <x:c r="G16" s="157" t="str">
        <x:v>なし</x:v>
      </x:c>
      <x:c r="H16" s="157" t="str">
        <x:v>OK</x:v>
      </x:c>
      <x:c r="I16" s="157" t="str">
        <x:v>計算・休暇・月次集計の自動テストで確認。</x:v>
      </x:c>
    </x:row>
    <x:row r="17">
      <x:c r="A17" s="156" t="str">
        <x:v>CMP-012</x:v>
      </x:c>
      <x:c r="B17" s="156" t="str">
        <x:v>全日休暇</x:v>
      </x:c>
      <x:c r="C17" s="156" t="str">
        <x:v>有給・特別・慶弔</x:v>
      </x:c>
      <x:c r="D17" s="156" t="str">
        <x:v>所定時間計上が一致</x:v>
      </x:c>
      <x:c r="E17" s="157" t="str">
        <x:v>Excel仕様値</x:v>
      </x:c>
      <x:c r="F17" s="157" t="str">
        <x:v>JUnit結果一致</x:v>
      </x:c>
      <x:c r="G17" s="157" t="str">
        <x:v>なし</x:v>
      </x:c>
      <x:c r="H17" s="157" t="str">
        <x:v>OK</x:v>
      </x:c>
      <x:c r="I17" s="157" t="str">
        <x:v>計算・休暇・月次集計の自動テストで確認。</x:v>
      </x:c>
    </x:row>
    <x:row r="18">
      <x:c r="A18" s="156" t="str">
        <x:v>CMP-013</x:v>
      </x:c>
      <x:c r="B18" s="156" t="str">
        <x:v>振替休日・欠勤</x:v>
      </x:c>
      <x:c r="C18" s="156" t="str">
        <x:v>各1日</x:v>
      </x:c>
      <x:c r="D18" s="156" t="str">
        <x:v>日数・時間・過不足が一致</x:v>
      </x:c>
      <x:c r="E18" s="157" t="str">
        <x:v>Excel仕様値</x:v>
      </x:c>
      <x:c r="F18" s="157" t="str">
        <x:v>JUnit結果一致</x:v>
      </x:c>
      <x:c r="G18" s="157" t="str">
        <x:v>なし</x:v>
      </x:c>
      <x:c r="H18" s="157" t="str">
        <x:v>OK</x:v>
      </x:c>
      <x:c r="I18" s="157" t="str">
        <x:v>計算・休暇・月次集計の自動テストで確認。</x:v>
      </x:c>
    </x:row>
    <x:row r="19">
      <x:c r="A19" s="156" t="str">
        <x:v>CMP-014</x:v>
      </x:c>
      <x:c r="B19" s="156" t="str">
        <x:v>複数案件</x:v>
      </x:c>
      <x:c r="C19" s="156" t="str">
        <x:v>システムNo.を複数使用</x:v>
      </x:c>
      <x:c r="D19" s="156" t="str">
        <x:v>案件別日数・時間が一致</x:v>
      </x:c>
      <x:c r="E19" s="157" t="str">
        <x:v>Excel仕様値</x:v>
      </x:c>
      <x:c r="F19" s="157" t="str">
        <x:v>JUnit結果一致</x:v>
      </x:c>
      <x:c r="G19" s="157" t="str">
        <x:v>なし</x:v>
      </x:c>
      <x:c r="H19" s="157" t="str">
        <x:v>OK</x:v>
      </x:c>
      <x:c r="I19" s="157" t="str">
        <x:v>計算・休暇・月次集計の自動テストで確認。</x:v>
      </x:c>
    </x:row>
    <x:row r="20">
      <x:c r="A20" s="156" t="str">
        <x:v>CMP-015</x:v>
      </x:c>
      <x:c r="B20" s="156" t="str">
        <x:v>月日数</x:v>
      </x:c>
      <x:c r="C20" s="156" t="str">
        <x:v>28日、29日、30日、31日の月</x:v>
      </x:c>
      <x:c r="D20" s="156" t="str">
        <x:v>日付・曜日・所定日数・合計が一致</x:v>
      </x:c>
      <x:c r="E20" s="157"/>
      <x:c r="F20" s="157"/>
      <x:c r="G20" s="157"/>
      <x:c r="H20" s="157" t="str">
        <x:v>保留</x:v>
      </x:c>
      <x:c r="I20" s="157" t="str">
        <x:v>元Excelへの再入力を伴うため利用部門の受入環境で実施。</x:v>
      </x:c>
    </x:row>
    <x:row r="21">
      <x:c r="A21" s="156" t="str">
        <x:v>CMP-016</x:v>
      </x:c>
      <x:c r="B21" s="156" t="str">
        <x:v>提供Excel実績</x:v>
      </x:c>
      <x:c r="C21" s="156" t="str">
        <x:v>勤務表(上野)_202606.xlsmと同じ入力</x:v>
      </x:c>
      <x:c r="D21" s="156" t="str">
        <x:v>平日180:00、休日0:00、半休1回、所定22日・176:00、過不足4:00</x:v>
      </x:c>
      <x:c r="E21" s="157" t="str">
        <x:v>平日180:00、休日0:00、半休1回、所定22日、176:00、過不足4:00</x:v>
      </x:c>
      <x:c r="F21" s="157" t="str">
        <x:v>平日180:00、休日0:00、半休1回、所定22日、176:00、過不足4:00</x:v>
      </x:c>
      <x:c r="G21" s="157" t="str">
        <x:v>なし</x:v>
      </x:c>
      <x:c r="H21" s="157" t="str">
        <x:v>OK</x:v>
      </x:c>
      <x:c r="I21" s="157" t="str">
        <x:v>提供済み2026年6月勤務表との既存API照合結果。</x:v>
      </x:c>
    </x:row>
  </x:sheetData>
  <x:mergeCells>
    <x:mergeCell ref="A1:I2"/>
    <x:mergeCell ref="A4:I4"/>
  </x:mergeCells>
  <x:conditionalFormatting sqref="H6:H21">
    <x:cfRule type="containsText" dxfId="3" priority="1" operator="containsText" text="OK"/>
    <x:cfRule type="containsText" dxfId="4" priority="2" operator="containsText" text="NG"/>
  </x:conditionalFormatting>
  <x:dataValidations count="1">
    <x:dataValidation type="list" sqref="H6:H21">
      <x:formula1>"未実施,OK,NG,保留,対象外"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248a7e542e4a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0" hidden="0" customWidth="1"/>
    <x:col min="4" max="4" width="16" hidden="0" customWidth="1"/>
    <x:col min="5" max="5" width="38" hidden="0" customWidth="1"/>
    <x:col min="6" max="6" width="24" hidden="0" customWidth="1"/>
  </x:cols>
  <x:sheetData>
    <x:row r="1" ht="28" customHeight="1">
      <x:c r="A1" s="93" t="str">
        <x:v>テスト環境・テストデータ</x:v>
      </x:c>
      <x:c r="B1" s="94" t="str">
        <x:v>テスト環境・テストデータ</x:v>
      </x:c>
      <x:c r="C1" s="94" t="str">
        <x:v>テスト環境・テストデータ</x:v>
      </x:c>
      <x:c r="D1" s="94" t="str">
        <x:v>テスト環境・テストデータ</x:v>
      </x:c>
      <x:c r="E1" s="94" t="str">
        <x:v>テスト環境・テストデータ</x:v>
      </x:c>
      <x:c r="F1" s="95" t="str">
        <x:v>テスト環境・テストデータ</x:v>
      </x:c>
    </x:row>
    <x:row r="2" ht="28" customHeight="1">
      <x:c r="A2" s="96" t="str">
        <x:v>テスト環境・テストデータ</x:v>
      </x:c>
      <x:c r="B2" s="97" t="str">
        <x:v>テスト環境・テストデータ</x:v>
      </x:c>
      <x:c r="C2" s="97" t="str">
        <x:v>テスト環境・テストデータ</x:v>
      </x:c>
      <x:c r="D2" s="97" t="str">
        <x:v>テスト環境・テストデータ</x:v>
      </x:c>
      <x:c r="E2" s="97" t="str">
        <x:v>テスト環境・テストデータ</x:v>
      </x:c>
      <x:c r="F2" s="98" t="str">
        <x:v>テスト環境・テストデータ</x:v>
      </x:c>
    </x:row>
    <x:row r="3">
      <x:c r="A3" s="99"/>
      <x:c r="B3" s="99"/>
      <x:c r="C3" s="99"/>
      <x:c r="D3" s="99"/>
      <x:c r="E3" s="99"/>
      <x:c r="F3" s="99"/>
    </x:row>
    <x:row r="4">
      <x:c r="A4" s="101" t="str">
        <x:v>環境情報</x:v>
      </x:c>
      <x:c r="B4" s="102" t="str">
        <x:v>環境情報</x:v>
      </x:c>
      <x:c r="C4" s="102" t="str">
        <x:v>環境情報</x:v>
      </x:c>
      <x:c r="D4" s="102" t="str">
        <x:v>環境情報</x:v>
      </x:c>
      <x:c r="E4" s="102" t="str">
        <x:v>環境情報</x:v>
      </x:c>
      <x:c r="F4" s="103" t="str">
        <x:v>環境情報</x:v>
      </x:c>
    </x:row>
    <x:row r="5">
      <x:c r="A5" s="100" t="str">
        <x:v>項目</x:v>
      </x:c>
      <x:c r="B5" s="100" t="str">
        <x:v>設定値／記録欄</x:v>
      </x:c>
      <x:c r="C5" s="100" t="str">
        <x:v>必須</x:v>
      </x:c>
      <x:c r="D5" s="100" t="str">
        <x:v>確認日</x:v>
      </x:c>
      <x:c r="E5" s="100" t="str">
        <x:v>確認者</x:v>
      </x:c>
      <x:c r="F5" s="100" t="str">
        <x:v>備考</x:v>
      </x:c>
    </x:row>
    <x:row r="6">
      <x:c r="A6" s="105" t="str">
        <x:v>アプリURL</x:v>
      </x:c>
      <x:c r="B6" s="105" t="str">
        <x:v>http://localhost:4173</x:v>
      </x:c>
      <x:c r="C6" s="105" t="str">
        <x:v>○</x:v>
      </x:c>
      <x:c r="D6" s="108" t="n">
        <x:v>46227</x:v>
      </x:c>
      <x:c r="E6" s="105" t="str">
        <x:v>Codex</x:v>
      </x:c>
      <x:c r="F6" s="105" t="str">
        <x:v>http://localhost:4173 で200</x:v>
      </x:c>
    </x:row>
    <x:row r="7">
      <x:c r="A7" s="105" t="str">
        <x:v>OS</x:v>
      </x:c>
      <x:c r="B7" s="105" t="str">
        <x:v>Windows 10／11</x:v>
      </x:c>
      <x:c r="C7" s="105" t="str">
        <x:v>○</x:v>
      </x:c>
      <x:c r="D7" s="108" t="n">
        <x:v>46227</x:v>
      </x:c>
      <x:c r="E7" s="105" t="str">
        <x:v>Codex</x:v>
      </x:c>
      <x:c r="F7" s="105" t="str">
        <x:v>Windows環境</x:v>
      </x:c>
    </x:row>
    <x:row r="8">
      <x:c r="A8" s="105" t="str">
        <x:v>ブラウザー</x:v>
      </x:c>
      <x:c r="B8" s="105" t="str">
        <x:v>EdgeまたはChrome最新版</x:v>
      </x:c>
      <x:c r="C8" s="105" t="str">
        <x:v>○</x:v>
      </x:c>
      <x:c r="D8" s="108" t="n">
        <x:v>46227</x:v>
      </x:c>
      <x:c r="E8" s="105" t="str">
        <x:v>Codex</x:v>
      </x:c>
      <x:c r="F8" s="105" t="str">
        <x:v>アプリ実機確認に使用</x:v>
      </x:c>
    </x:row>
    <x:row r="9">
      <x:c r="A9" s="105" t="str">
        <x:v>Docker</x:v>
      </x:c>
      <x:c r="B9" s="105" t="str">
        <x:v>Docker Desktop起動済み</x:v>
      </x:c>
      <x:c r="C9" s="105" t="str">
        <x:v>○</x:v>
      </x:c>
      <x:c r="D9" s="108" t="n">
        <x:v>46227</x:v>
      </x:c>
      <x:c r="E9" s="105" t="str">
        <x:v>Codex</x:v>
      </x:c>
      <x:c r="F9" s="105" t="str">
        <x:v>DB/Backend healthy、Frontend running</x:v>
      </x:c>
    </x:row>
    <x:row r="10">
      <x:c r="A10" s="105" t="str">
        <x:v>PC版Outlook</x:v>
      </x:c>
      <x:c r="B10" s="105" t="str">
        <x:v>インストール・アカウント設定済み</x:v>
      </x:c>
      <x:c r="C10" s="105" t="str">
        <x:v>○</x:v>
      </x:c>
      <x:c r="D10" s="108" t="n">
        <x:v>46227</x:v>
      </x:c>
      <x:c r="E10" s="105" t="str">
        <x:v>利用者確認</x:v>
      </x:c>
      <x:c r="F10" s="105" t="str">
        <x:v>添付済みメール起動を前回確認済み</x:v>
      </x:c>
    </x:row>
    <x:row r="11">
      <x:c r="A11" s="105" t="str">
        <x:v>スマートフォン</x:v>
      </x:c>
      <x:c r="B11" s="105" t="str">
        <x:v>PCと同じWi-Fi</x:v>
      </x:c>
      <x:c r="C11" s="105" t="str">
        <x:v>△</x:v>
      </x:c>
      <x:c r="D11" s="108"/>
      <x:c r="E11" s="105"/>
      <x:c r="F11" s="105" t="str">
        <x:v>実スマートフォン確認は保留</x:v>
      </x:c>
    </x:row>
    <x:row r="12">
      <x:c r="A12" s="105" t="str">
        <x:v>Slack</x:v>
      </x:c>
      <x:c r="B12" s="105" t="str">
        <x:v>Webhook未設定／検証用Webhook設定済み</x:v>
      </x:c>
      <x:c r="C12" s="105" t="str">
        <x:v>△</x:v>
      </x:c>
      <x:c r="D12" s="108"/>
      <x:c r="E12" s="105"/>
      <x:c r="F12" s="105" t="str">
        <x:v>Webhook未設定のため実投稿は保留</x:v>
      </x:c>
    </x:row>
    <x:row r="13">
      <x:c r="A13" s="99"/>
      <x:c r="B13" s="99"/>
      <x:c r="C13" s="99"/>
      <x:c r="D13" s="99"/>
      <x:c r="E13" s="99"/>
      <x:c r="F13" s="99"/>
    </x:row>
    <x:row r="14">
      <x:c r="A14" s="101" t="str">
        <x:v>アカウント・ファイル</x:v>
      </x:c>
      <x:c r="B14" s="102" t="str">
        <x:v>アカウント・ファイル</x:v>
      </x:c>
      <x:c r="C14" s="102" t="str">
        <x:v>アカウント・ファイル</x:v>
      </x:c>
      <x:c r="D14" s="102" t="str">
        <x:v>アカウント・ファイル</x:v>
      </x:c>
      <x:c r="E14" s="102" t="str">
        <x:v>アカウント・ファイル</x:v>
      </x:c>
      <x:c r="F14" s="103" t="str">
        <x:v>アカウント・ファイル</x:v>
      </x:c>
    </x:row>
    <x:row r="15">
      <x:c r="A15" s="100" t="str">
        <x:v>区分</x:v>
      </x:c>
      <x:c r="B15" s="100" t="str">
        <x:v>識別子</x:v>
      </x:c>
      <x:c r="C15" s="100" t="str">
        <x:v>用途</x:v>
      </x:c>
      <x:c r="D15" s="100" t="str">
        <x:v>準備状況</x:v>
      </x:c>
      <x:c r="E15" s="100" t="str">
        <x:v>注意事項</x:v>
      </x:c>
      <x:c r="F15" s="100" t="str">
        <x:v>パスワード記載</x:v>
      </x:c>
    </x:row>
    <x:row r="16">
      <x:c r="A16" s="105" t="str">
        <x:v>管理者</x:v>
      </x:c>
      <x:c r="B16" s="105" t="str">
        <x:v>admin</x:v>
      </x:c>
      <x:c r="C16" s="105" t="str">
        <x:v>管理者機能・権限確認</x:v>
      </x:c>
      <x:c r="D16" s="105" t="str">
        <x:v>未確認</x:v>
      </x:c>
      <x:c r="E16" s="105" t="str">
        <x:v>現在の有効な認証情報を使用</x:v>
      </x:c>
      <x:c r="F16" s="105" t="str">
        <x:v>この仕様書へ記載しない</x:v>
      </x:c>
    </x:row>
    <x:row r="17">
      <x:c r="A17" s="105" t="str">
        <x:v>一般利用者</x:v>
      </x:c>
      <x:c r="B17" s="105" t="str">
        <x:v>test（上野 豪）</x:v>
      </x:c>
      <x:c r="C17" s="105" t="str">
        <x:v>本人勤怠・スマホ確認</x:v>
      </x:c>
      <x:c r="D17" s="105" t="str">
        <x:v>未確認</x:v>
      </x:c>
      <x:c r="E17" s="105" t="str">
        <x:v>社員情報が正しいこと</x:v>
      </x:c>
      <x:c r="F17" s="105" t="str">
        <x:v>この仕様書へ記載しない</x:v>
      </x:c>
    </x:row>
    <x:row r="18">
      <x:c r="A18" s="105" t="str">
        <x:v>一般利用者</x:v>
      </x:c>
      <x:c r="B18" s="105" t="str">
        <x:v>demo001等</x:v>
      </x:c>
      <x:c r="C18" s="105" t="str">
        <x:v>検索・代理操作・負荷確認</x:v>
      </x:c>
      <x:c r="D18" s="105" t="str">
        <x:v>未確認</x:v>
      </x:c>
      <x:c r="E18" s="105" t="str">
        <x:v>検証データ有効時のみ</x:v>
      </x:c>
      <x:c r="F18" s="105" t="str">
        <x:v>この仕様書へ記載しない</x:v>
      </x:c>
    </x:row>
    <x:row r="19">
      <x:c r="A19" s="105" t="str">
        <x:v>Excel</x:v>
      </x:c>
      <x:c r="B19" s="105" t="str">
        <x:v>勤務表(上野)_202606.xlsm</x:v>
      </x:c>
      <x:c r="C19" s="105" t="str">
        <x:v>パスワード付取込・Excel照合</x:v>
      </x:c>
      <x:c r="D19" s="105" t="str">
        <x:v>準備済み</x:v>
      </x:c>
      <x:c r="E19" s="105" t="str">
        <x:v>元ファイルを直接上書きしない</x:v>
      </x:c>
      <x:c r="F19" s="105" t="str">
        <x:v>別の安全な場所で管理</x:v>
      </x:c>
    </x:row>
    <x:row r="20">
      <x:c r="A20" s="105" t="str">
        <x:v>Excel</x:v>
      </x:c>
      <x:c r="B20" s="105" t="str">
        <x:v>提供形式の.xlsx</x:v>
      </x:c>
      <x:c r="C20" s="105" t="str">
        <x:v>通常取込</x:v>
      </x:c>
      <x:c r="D20" s="105" t="str">
        <x:v>未確認</x:v>
      </x:c>
      <x:c r="E20" s="105" t="str">
        <x:v>個人情報はテスト値に置換推奨</x:v>
      </x:c>
      <x:c r="F20" s="105" t="str">
        <x:v>不要</x:v>
      </x:c>
    </x:row>
    <x:row r="21">
      <x:c r="A21" s="105" t="str">
        <x:v>PDF</x:v>
      </x:c>
      <x:c r="B21" s="105" t="str">
        <x:v>文字抽出可能な会社カレンダー</x:v>
      </x:c>
      <x:c r="C21" s="105" t="str">
        <x:v>会社休日取込</x:v>
      </x:c>
      <x:c r="D21" s="105" t="str">
        <x:v>未確認</x:v>
      </x:c>
      <x:c r="E21" s="105" t="str">
        <x:v>日付と休日名を含む</x:v>
      </x:c>
      <x:c r="F21" s="105" t="str">
        <x:v>不要</x:v>
      </x:c>
    </x:row>
    <x:row r="22">
      <x:c r="A22" s="105" t="str">
        <x:v>PDF</x:v>
      </x:c>
      <x:c r="B22" s="105" t="str">
        <x:v>画像だけのPDF</x:v>
      </x:c>
      <x:c r="C22" s="105" t="str">
        <x:v>異常系取込</x:v>
      </x:c>
      <x:c r="D22" s="105" t="str">
        <x:v>未確認</x:v>
      </x:c>
      <x:c r="E22" s="105" t="str">
        <x:v>OCR対象外確認</x:v>
      </x:c>
      <x:c r="F22" s="105" t="str">
        <x:v>不要</x:v>
      </x:c>
    </x:row>
    <x:row r="23">
      <x:c r="A23" s="105" t="str">
        <x:v>Outlook</x:v>
      </x:c>
      <x:c r="B23" s="105" t="str">
        <x:v>テスト送信先</x:v>
      </x:c>
      <x:c r="C23" s="105" t="str">
        <x:v>メール確認</x:v>
      </x:c>
      <x:c r="D23" s="105" t="str">
        <x:v>未確認</x:v>
      </x:c>
      <x:c r="E23" s="105" t="str">
        <x:v>原則として送信直前で停止</x:v>
      </x:c>
      <x:c r="F23" s="105" t="str">
        <x:v>この仕様書へ記載しない</x:v>
      </x:c>
    </x:row>
    <x:row r="24">
      <x:c r="A24" s="99"/>
      <x:c r="B24" s="99"/>
      <x:c r="C24" s="99"/>
      <x:c r="D24" s="99"/>
      <x:c r="E24" s="99"/>
      <x:c r="F24" s="99"/>
    </x:row>
    <x:row r="25">
      <x:c r="A25" s="101" t="str">
        <x:v>実施時のセキュリティ注意</x:v>
      </x:c>
      <x:c r="B25" s="102" t="str">
        <x:v>実施時のセキュリティ注意</x:v>
      </x:c>
      <x:c r="C25" s="102" t="str">
        <x:v>実施時のセキュリティ注意</x:v>
      </x:c>
      <x:c r="D25" s="102" t="str">
        <x:v>実施時のセキュリティ注意</x:v>
      </x:c>
      <x:c r="E25" s="102" t="str">
        <x:v>実施時のセキュリティ注意</x:v>
      </x:c>
      <x:c r="F25" s="103" t="str">
        <x:v>実施時のセキュリティ注意</x:v>
      </x:c>
    </x:row>
    <x:row r="26">
      <x:c r="A26" s="120" t="str">
        <x:v>・本番データや実在社員の個人情報は、必要最小限のケース以外では使用しない。</x:v>
      </x:c>
      <x:c r="B26" s="121" t="str">
        <x:v>・本番データや実在社員の個人情報は、必要最小限のケース以外では使用しない。</x:v>
      </x:c>
      <x:c r="C26" s="121" t="str">
        <x:v>・本番データや実在社員の個人情報は、必要最小限のケース以外では使用しない。</x:v>
      </x:c>
      <x:c r="D26" s="121" t="str">
        <x:v>・本番データや実在社員の個人情報は、必要最小限のケース以外では使用しない。</x:v>
      </x:c>
      <x:c r="E26" s="121" t="str">
        <x:v>・本番データや実在社員の個人情報は、必要最小限のケース以外では使用しない。</x:v>
      </x:c>
      <x:c r="F26" s="122" t="str">
        <x:v>・本番データや実在社員の個人情報は、必要最小限のケース以外では使用しない。</x:v>
      </x:c>
    </x:row>
    <x:row r="27">
      <x:c r="A27" s="123" t="str">
        <x:v>・パスワード、Excel解除パスワード、セッショントークン、Webhook URLをセルやスクリーンショットへ残さない。</x:v>
      </x:c>
      <x:c r="B27" s="124" t="str">
        <x:v>・パスワード、Excel解除パスワード、セッショントークン、Webhook URLをセルやスクリーンショットへ残さない。</x:v>
      </x:c>
      <x:c r="C27" s="124" t="str">
        <x:v>・パスワード、Excel解除パスワード、セッショントークン、Webhook URLをセルやスクリーンショットへ残さない。</x:v>
      </x:c>
      <x:c r="D27" s="124" t="str">
        <x:v>・パスワード、Excel解除パスワード、セッショントークン、Webhook URLをセルやスクリーンショットへ残さない。</x:v>
      </x:c>
      <x:c r="E27" s="124" t="str">
        <x:v>・パスワード、Excel解除パスワード、セッショントークン、Webhook URLをセルやスクリーンショットへ残さない。</x:v>
      </x:c>
      <x:c r="F27" s="125" t="str">
        <x:v>・パスワード、Excel解除パスワード、セッショントークン、Webhook URLをセルやスクリーンショットへ残さない。</x:v>
      </x:c>
    </x:row>
    <x:row r="28">
      <x:c r="A28" s="123" t="str">
        <x:v>・OutlookとSlackは宛先・チャンネルを確認し、意図しない送信を行わない。</x:v>
      </x:c>
      <x:c r="B28" s="124" t="str">
        <x:v>・OutlookとSlackは宛先・チャンネルを確認し、意図しない送信を行わない。</x:v>
      </x:c>
      <x:c r="C28" s="124" t="str">
        <x:v>・OutlookとSlackは宛先・チャンネルを確認し、意図しない送信を行わない。</x:v>
      </x:c>
      <x:c r="D28" s="124" t="str">
        <x:v>・OutlookとSlackは宛先・チャンネルを確認し、意図しない送信を行わない。</x:v>
      </x:c>
      <x:c r="E28" s="124" t="str">
        <x:v>・OutlookとSlackは宛先・チャンネルを確認し、意図しない送信を行わない。</x:v>
      </x:c>
      <x:c r="F28" s="125" t="str">
        <x:v>・OutlookとSlackは宛先・チャンネルを確認し、意図しない送信を行わない。</x:v>
      </x:c>
    </x:row>
    <x:row r="29">
      <x:c r="A29" s="123" t="str">
        <x:v>・削除テストは検証用勤務表だけを対象にする。</x:v>
      </x:c>
      <x:c r="B29" s="124" t="str">
        <x:v>・削除テストは検証用勤務表だけを対象にする。</x:v>
      </x:c>
      <x:c r="C29" s="124" t="str">
        <x:v>・削除テストは検証用勤務表だけを対象にする。</x:v>
      </x:c>
      <x:c r="D29" s="124" t="str">
        <x:v>・削除テストは検証用勤務表だけを対象にする。</x:v>
      </x:c>
      <x:c r="E29" s="124" t="str">
        <x:v>・削除テストは検証用勤務表だけを対象にする。</x:v>
      </x:c>
      <x:c r="F29" s="125" t="str">
        <x:v>・削除テストは検証用勤務表だけを対象にする。</x:v>
      </x:c>
    </x:row>
    <x:row r="30">
      <x:c r="A30" s="126" t="str">
        <x:v>・不具合証跡を社外サービスへアップロードしない。</x:v>
      </x:c>
      <x:c r="B30" s="127" t="str">
        <x:v>・不具合証跡を社外サービスへアップロードしない。</x:v>
      </x:c>
      <x:c r="C30" s="127" t="str">
        <x:v>・不具合証跡を社外サービスへアップロードしない。</x:v>
      </x:c>
      <x:c r="D30" s="127" t="str">
        <x:v>・不具合証跡を社外サービスへアップロードしない。</x:v>
      </x:c>
      <x:c r="E30" s="127" t="str">
        <x:v>・不具合証跡を社外サービスへアップロードしない。</x:v>
      </x:c>
      <x:c r="F30" s="128" t="str">
        <x:v>・不具合証跡を社外サービスへアップロードしない。</x:v>
      </x:c>
    </x:row>
  </x:sheetData>
  <x:mergeCells>
    <x:mergeCell ref="A1:F2"/>
    <x:mergeCell ref="A4:F4"/>
    <x:mergeCell ref="A14:F14"/>
    <x:mergeCell ref="A25:F25"/>
    <x:mergeCell ref="A26:F26"/>
    <x:mergeCell ref="A27:F27"/>
    <x:mergeCell ref="A28:F28"/>
    <x:mergeCell ref="A29:F29"/>
    <x:mergeCell ref="A30:F30"/>
  </x:mergeCells>
  <x:dataValidations count="1">
    <x:dataValidation type="list" sqref="D16:D23">
      <x:formula1>"未確認,準備済み,不要,準備不可"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3" hidden="0" customWidth="1"/>
    <x:col min="4" max="4" width="10" hidden="0" customWidth="1"/>
    <x:col min="5" max="5" width="30" hidden="0" customWidth="1"/>
    <x:col min="6" max="6" width="42" hidden="0" customWidth="1"/>
    <x:col min="7" max="7" width="34" hidden="0" customWidth="1"/>
    <x:col min="8" max="8" width="34" hidden="0" customWidth="1"/>
    <x:col min="9" max="9" width="14" hidden="0" customWidth="1"/>
    <x:col min="10" max="10" width="38" hidden="0" customWidth="1"/>
  </x:cols>
  <x:sheetData>
    <x:row r="1" ht="28" customHeight="1">
      <x:c r="A1" s="93" t="str">
        <x:v>不具合記録</x:v>
      </x:c>
      <x:c r="B1" s="94" t="str">
        <x:v>不具合記録</x:v>
      </x:c>
      <x:c r="C1" s="94" t="str">
        <x:v>不具合記録</x:v>
      </x:c>
      <x:c r="D1" s="94" t="str">
        <x:v>不具合記録</x:v>
      </x:c>
      <x:c r="E1" s="94" t="str">
        <x:v>不具合記録</x:v>
      </x:c>
      <x:c r="F1" s="94" t="str">
        <x:v>不具合記録</x:v>
      </x:c>
      <x:c r="G1" s="94" t="str">
        <x:v>不具合記録</x:v>
      </x:c>
      <x:c r="H1" s="94" t="str">
        <x:v>不具合記録</x:v>
      </x:c>
      <x:c r="I1" s="94" t="str">
        <x:v>不具合記録</x:v>
      </x:c>
      <x:c r="J1" s="95" t="str">
        <x:v>不具合記録</x:v>
      </x:c>
    </x:row>
    <x:row r="2" ht="28" customHeight="1">
      <x:c r="A2" s="96" t="str">
        <x:v>不具合記録</x:v>
      </x:c>
      <x:c r="B2" s="97" t="str">
        <x:v>不具合記録</x:v>
      </x:c>
      <x:c r="C2" s="97" t="str">
        <x:v>不具合記録</x:v>
      </x:c>
      <x:c r="D2" s="97" t="str">
        <x:v>不具合記録</x:v>
      </x:c>
      <x:c r="E2" s="97" t="str">
        <x:v>不具合記録</x:v>
      </x:c>
      <x:c r="F2" s="97" t="str">
        <x:v>不具合記録</x:v>
      </x:c>
      <x:c r="G2" s="97" t="str">
        <x:v>不具合記録</x:v>
      </x:c>
      <x:c r="H2" s="97" t="str">
        <x:v>不具合記録</x:v>
      </x:c>
      <x:c r="I2" s="97" t="str">
        <x:v>不具合記録</x:v>
      </x:c>
      <x:c r="J2" s="98" t="str">
        <x:v>不具合記録</x:v>
      </x:c>
    </x:row>
    <x:row r="3">
      <x:c r="A3" s="99"/>
      <x:c r="B3" s="99"/>
      <x:c r="C3" s="99"/>
      <x:c r="D3" s="99"/>
      <x:c r="E3" s="99"/>
      <x:c r="F3" s="99"/>
      <x:c r="G3" s="99"/>
      <x:c r="H3" s="99"/>
      <x:c r="I3" s="99"/>
      <x:c r="J3" s="99"/>
    </x:row>
    <x:row r="4">
      <x:c r="A4" s="159" t="str">
        <x:v>NGまたは保留となった事象を記録し、対応後に再テストしてください。</x:v>
      </x:c>
      <x:c r="B4" s="160" t="str">
        <x:v>NGまたは保留となった事象を記録し、対応後に再テストしてください。</x:v>
      </x:c>
      <x:c r="C4" s="160" t="str">
        <x:v>NGまたは保留となった事象を記録し、対応後に再テストしてください。</x:v>
      </x:c>
      <x:c r="D4" s="160" t="str">
        <x:v>NGまたは保留となった事象を記録し、対応後に再テストしてください。</x:v>
      </x:c>
      <x:c r="E4" s="160" t="str">
        <x:v>NGまたは保留となった事象を記録し、対応後に再テストしてください。</x:v>
      </x:c>
      <x:c r="F4" s="160" t="str">
        <x:v>NGまたは保留となった事象を記録し、対応後に再テストしてください。</x:v>
      </x:c>
      <x:c r="G4" s="160" t="str">
        <x:v>NGまたは保留となった事象を記録し、対応後に再テストしてください。</x:v>
      </x:c>
      <x:c r="H4" s="160" t="str">
        <x:v>NGまたは保留となった事象を記録し、対応後に再テストしてください。</x:v>
      </x:c>
      <x:c r="I4" s="160" t="str">
        <x:v>NGまたは保留となった事象を記録し、対応後に再テストしてください。</x:v>
      </x:c>
      <x:c r="J4" s="161" t="str">
        <x:v>NGまたは保留となった事象を記録し、対応後に再テストしてください。</x:v>
      </x:c>
    </x:row>
    <x:row r="5">
      <x:c r="A5" s="100" t="str">
        <x:v>不具合No.</x:v>
      </x:c>
      <x:c r="B5" s="100" t="str">
        <x:v>関連テストID</x:v>
      </x:c>
      <x:c r="C5" s="100" t="str">
        <x:v>発見日</x:v>
      </x:c>
      <x:c r="D5" s="100" t="str">
        <x:v>重要度</x:v>
      </x:c>
      <x:c r="E5" s="100" t="str">
        <x:v>概要</x:v>
      </x:c>
      <x:c r="F5" s="100" t="str">
        <x:v>再現手順</x:v>
      </x:c>
      <x:c r="G5" s="100" t="str">
        <x:v>期待結果</x:v>
      </x:c>
      <x:c r="H5" s="100" t="str">
        <x:v>実際の結果</x:v>
      </x:c>
      <x:c r="I5" s="100" t="str">
        <x:v>状態</x:v>
      </x:c>
      <x:c r="J5" s="100" t="str">
        <x:v>対応・再テスト結果</x:v>
      </x:c>
    </x:row>
    <x:row r="6">
      <x:c r="A6" s="153" t="str">
        <x:v>FIX-001</x:v>
      </x:c>
      <x:c r="B6" s="153" t="str">
        <x:v>ENV-002 / SEC-007</x:v>
      </x:c>
      <x:c r="C6" s="154" t="n">
        <x:v>46227</x:v>
      </x:c>
      <x:c r="D6" s="153" t="str">
        <x:v>中</x:v>
      </x:c>
      <x:c r="E6" s="153" t="str">
        <x:v>日本語フォルダー名でComposeプロジェクト名を生成できない</x:v>
      </x:c>
      <x:c r="F6" s="153" t="str">
        <x:v>環境変数を設定してdocker compose configまたはupを実行</x:v>
      </x:c>
      <x:c r="G6" s="153" t="str">
        <x:v>Compose設定が読み込まれる</x:v>
      </x:c>
      <x:c r="H6" s="153" t="str">
        <x:v>project name must not be empty</x:v>
      </x:c>
      <x:c r="I6" s="153" t="str">
        <x:v>対応済み</x:v>
      </x:c>
      <x:c r="J6" s="153" t="str">
        <x:v>compose.yamlへname: attendanceを追加。config・再ビルド・起動成功。</x:v>
      </x:c>
    </x:row>
    <x:row r="7">
      <x:c r="A7" s="157" t="str">
        <x:v>FIX-002</x:v>
      </x:c>
      <x:c r="B7" s="157" t="str">
        <x:v>SEC-006</x:v>
      </x:c>
      <x:c r="C7" s="158" t="n">
        <x:v>46227</x:v>
      </x:c>
      <x:c r="D7" s="157" t="str">
        <x:v>高</x:v>
      </x:c>
      <x:c r="E7" s="157" t="str">
        <x:v>Outlook一度限りトークンがアクセスログへ残る可能性</x:v>
      </x:c>
      <x:c r="F7" s="157" t="str">
        <x:v>一度限りURLへアクセスしてFrontendログを確認</x:v>
      </x:c>
      <x:c r="G7" s="157" t="str">
        <x:v>トークンURLがログへ残らない</x:v>
      </x:c>
      <x:c r="H7" s="157" t="str">
        <x:v>修正前は通常の/api/アクセスログ対象</x:v>
      </x:c>
      <x:c r="I7" s="157" t="str">
        <x:v>対応済み</x:v>
      </x:c>
      <x:c r="J7" s="157" t="str">
        <x:v>専用locationでaccess_log off。偽トークン試験でログなし。</x:v>
      </x:c>
    </x:row>
    <x:row r="8">
      <x:c r="A8" s="157" t="str">
        <x:v>FIX-003</x:v>
      </x:c>
      <x:c r="B8" s="157" t="str">
        <x:v>SEC-007</x:v>
      </x:c>
      <x:c r="C8" s="158" t="n">
        <x:v>46227</x:v>
      </x:c>
      <x:c r="D8" s="157" t="str">
        <x:v>中</x:v>
      </x:c>
      <x:c r="E8" s="157" t="str">
        <x:v>FrontendとDBが同一ネットワークに存在</x:v>
      </x:c>
      <x:c r="F8" s="157" t="str">
        <x:v>docker inspectでネットワークを確認</x:v>
      </x:c>
      <x:c r="G8" s="157" t="str">
        <x:v>FrontendからDBへ直接到達できない</x:v>
      </x:c>
      <x:c r="H8" s="157" t="str">
        <x:v>修正前は既定ネットワークを共有</x:v>
      </x:c>
      <x:c r="I8" s="157" t="str">
        <x:v>対応済み</x:v>
      </x:c>
      <x:c r="J8" s="157" t="str">
        <x:v>edge/dataを分離し、DBはinternal dataだけへ接続。</x:v>
      </x:c>
    </x:row>
    <x:row r="9">
      <x:c r="A9" s="157" t="str"/>
      <x:c r="B9" s="157" t="str"/>
      <x:c r="C9" s="158"/>
      <x:c r="D9" s="157" t="str">
        <x:v>中</x:v>
      </x:c>
      <x:c r="E9" s="157" t="str"/>
      <x:c r="F9" s="157" t="str"/>
      <x:c r="G9" s="157" t="str"/>
      <x:c r="H9" s="157" t="str"/>
      <x:c r="I9" s="157" t="str">
        <x:v>未対応</x:v>
      </x:c>
      <x:c r="J9" s="157" t="str"/>
    </x:row>
    <x:row r="10">
      <x:c r="A10" s="157" t="str"/>
      <x:c r="B10" s="157" t="str"/>
      <x:c r="C10" s="158"/>
      <x:c r="D10" s="157" t="str">
        <x:v>中</x:v>
      </x:c>
      <x:c r="E10" s="157" t="str"/>
      <x:c r="F10" s="157" t="str"/>
      <x:c r="G10" s="157" t="str"/>
      <x:c r="H10" s="157" t="str"/>
      <x:c r="I10" s="157" t="str">
        <x:v>未対応</x:v>
      </x:c>
      <x:c r="J10" s="157" t="str"/>
    </x:row>
    <x:row r="11">
      <x:c r="A11" s="157" t="str"/>
      <x:c r="B11" s="157" t="str"/>
      <x:c r="C11" s="158"/>
      <x:c r="D11" s="157" t="str">
        <x:v>中</x:v>
      </x:c>
      <x:c r="E11" s="157" t="str"/>
      <x:c r="F11" s="157" t="str"/>
      <x:c r="G11" s="157" t="str"/>
      <x:c r="H11" s="157" t="str"/>
      <x:c r="I11" s="157" t="str">
        <x:v>未対応</x:v>
      </x:c>
      <x:c r="J11" s="157" t="str"/>
    </x:row>
    <x:row r="12">
      <x:c r="A12" s="157" t="str"/>
      <x:c r="B12" s="157" t="str"/>
      <x:c r="C12" s="158"/>
      <x:c r="D12" s="157" t="str">
        <x:v>中</x:v>
      </x:c>
      <x:c r="E12" s="157" t="str"/>
      <x:c r="F12" s="157" t="str"/>
      <x:c r="G12" s="157" t="str"/>
      <x:c r="H12" s="157" t="str"/>
      <x:c r="I12" s="157" t="str">
        <x:v>未対応</x:v>
      </x:c>
      <x:c r="J12" s="157" t="str"/>
    </x:row>
    <x:row r="13">
      <x:c r="A13" s="157" t="str"/>
      <x:c r="B13" s="157" t="str"/>
      <x:c r="C13" s="158"/>
      <x:c r="D13" s="157" t="str">
        <x:v>中</x:v>
      </x:c>
      <x:c r="E13" s="157" t="str"/>
      <x:c r="F13" s="157" t="str"/>
      <x:c r="G13" s="157" t="str"/>
      <x:c r="H13" s="157" t="str"/>
      <x:c r="I13" s="157" t="str">
        <x:v>未対応</x:v>
      </x:c>
      <x:c r="J13" s="157" t="str"/>
    </x:row>
    <x:row r="14">
      <x:c r="A14" s="157" t="str"/>
      <x:c r="B14" s="157" t="str"/>
      <x:c r="C14" s="158"/>
      <x:c r="D14" s="157" t="str">
        <x:v>中</x:v>
      </x:c>
      <x:c r="E14" s="157" t="str"/>
      <x:c r="F14" s="157" t="str"/>
      <x:c r="G14" s="157" t="str"/>
      <x:c r="H14" s="157" t="str"/>
      <x:c r="I14" s="157" t="str">
        <x:v>未対応</x:v>
      </x:c>
      <x:c r="J14" s="157" t="str"/>
    </x:row>
    <x:row r="15">
      <x:c r="A15" s="157" t="str"/>
      <x:c r="B15" s="157" t="str"/>
      <x:c r="C15" s="158"/>
      <x:c r="D15" s="157" t="str">
        <x:v>中</x:v>
      </x:c>
      <x:c r="E15" s="157" t="str"/>
      <x:c r="F15" s="157" t="str"/>
      <x:c r="G15" s="157" t="str"/>
      <x:c r="H15" s="157" t="str"/>
      <x:c r="I15" s="157" t="str">
        <x:v>未対応</x:v>
      </x:c>
      <x:c r="J15" s="157" t="str"/>
    </x:row>
    <x:row r="16">
      <x:c r="A16" s="157" t="str"/>
      <x:c r="B16" s="157" t="str"/>
      <x:c r="C16" s="158"/>
      <x:c r="D16" s="157" t="str">
        <x:v>中</x:v>
      </x:c>
      <x:c r="E16" s="157" t="str"/>
      <x:c r="F16" s="157" t="str"/>
      <x:c r="G16" s="157" t="str"/>
      <x:c r="H16" s="157" t="str"/>
      <x:c r="I16" s="157" t="str">
        <x:v>未対応</x:v>
      </x:c>
      <x:c r="J16" s="157" t="str"/>
    </x:row>
    <x:row r="17">
      <x:c r="A17" s="157" t="str"/>
      <x:c r="B17" s="157" t="str"/>
      <x:c r="C17" s="158"/>
      <x:c r="D17" s="157" t="str">
        <x:v>中</x:v>
      </x:c>
      <x:c r="E17" s="157" t="str"/>
      <x:c r="F17" s="157" t="str"/>
      <x:c r="G17" s="157" t="str"/>
      <x:c r="H17" s="157" t="str"/>
      <x:c r="I17" s="157" t="str">
        <x:v>未対応</x:v>
      </x:c>
      <x:c r="J17" s="157" t="str"/>
    </x:row>
    <x:row r="18">
      <x:c r="A18" s="157" t="str"/>
      <x:c r="B18" s="157" t="str"/>
      <x:c r="C18" s="158"/>
      <x:c r="D18" s="157" t="str">
        <x:v>中</x:v>
      </x:c>
      <x:c r="E18" s="157" t="str"/>
      <x:c r="F18" s="157" t="str"/>
      <x:c r="G18" s="157" t="str"/>
      <x:c r="H18" s="157" t="str"/>
      <x:c r="I18" s="157" t="str">
        <x:v>未対応</x:v>
      </x:c>
      <x:c r="J18" s="157" t="str"/>
    </x:row>
    <x:row r="19">
      <x:c r="A19" s="157" t="str"/>
      <x:c r="B19" s="157" t="str"/>
      <x:c r="C19" s="158"/>
      <x:c r="D19" s="157" t="str">
        <x:v>中</x:v>
      </x:c>
      <x:c r="E19" s="157" t="str"/>
      <x:c r="F19" s="157" t="str"/>
      <x:c r="G19" s="157" t="str"/>
      <x:c r="H19" s="157" t="str"/>
      <x:c r="I19" s="157" t="str">
        <x:v>未対応</x:v>
      </x:c>
      <x:c r="J19" s="157" t="str"/>
    </x:row>
    <x:row r="20">
      <x:c r="A20" s="157" t="str"/>
      <x:c r="B20" s="157" t="str"/>
      <x:c r="C20" s="158"/>
      <x:c r="D20" s="157" t="str">
        <x:v>中</x:v>
      </x:c>
      <x:c r="E20" s="157" t="str"/>
      <x:c r="F20" s="157" t="str"/>
      <x:c r="G20" s="157" t="str"/>
      <x:c r="H20" s="157" t="str"/>
      <x:c r="I20" s="157" t="str">
        <x:v>未対応</x:v>
      </x:c>
      <x:c r="J20" s="157" t="str"/>
    </x:row>
    <x:row r="21">
      <x:c r="A21" s="157" t="str"/>
      <x:c r="B21" s="157" t="str"/>
      <x:c r="C21" s="158"/>
      <x:c r="D21" s="157" t="str">
        <x:v>中</x:v>
      </x:c>
      <x:c r="E21" s="157" t="str"/>
      <x:c r="F21" s="157" t="str"/>
      <x:c r="G21" s="157" t="str"/>
      <x:c r="H21" s="157" t="str"/>
      <x:c r="I21" s="157" t="str">
        <x:v>未対応</x:v>
      </x:c>
      <x:c r="J21" s="157" t="str"/>
    </x:row>
    <x:row r="22">
      <x:c r="A22" s="157" t="str"/>
      <x:c r="B22" s="157" t="str"/>
      <x:c r="C22" s="158"/>
      <x:c r="D22" s="157" t="str">
        <x:v>中</x:v>
      </x:c>
      <x:c r="E22" s="157" t="str"/>
      <x:c r="F22" s="157" t="str"/>
      <x:c r="G22" s="157" t="str"/>
      <x:c r="H22" s="157" t="str"/>
      <x:c r="I22" s="157" t="str">
        <x:v>未対応</x:v>
      </x:c>
      <x:c r="J22" s="157" t="str"/>
    </x:row>
    <x:row r="23">
      <x:c r="A23" s="157" t="str"/>
      <x:c r="B23" s="157" t="str"/>
      <x:c r="C23" s="158"/>
      <x:c r="D23" s="157" t="str">
        <x:v>中</x:v>
      </x:c>
      <x:c r="E23" s="157" t="str"/>
      <x:c r="F23" s="157" t="str"/>
      <x:c r="G23" s="157" t="str"/>
      <x:c r="H23" s="157" t="str"/>
      <x:c r="I23" s="157" t="str">
        <x:v>未対応</x:v>
      </x:c>
      <x:c r="J23" s="157" t="str"/>
    </x:row>
    <x:row r="24">
      <x:c r="A24" s="157" t="str"/>
      <x:c r="B24" s="157" t="str"/>
      <x:c r="C24" s="158"/>
      <x:c r="D24" s="157" t="str">
        <x:v>中</x:v>
      </x:c>
      <x:c r="E24" s="157" t="str"/>
      <x:c r="F24" s="157" t="str"/>
      <x:c r="G24" s="157" t="str"/>
      <x:c r="H24" s="157" t="str"/>
      <x:c r="I24" s="157" t="str">
        <x:v>未対応</x:v>
      </x:c>
      <x:c r="J24" s="157" t="str"/>
    </x:row>
    <x:row r="25">
      <x:c r="A25" s="157" t="str"/>
      <x:c r="B25" s="157" t="str"/>
      <x:c r="C25" s="158"/>
      <x:c r="D25" s="157" t="str">
        <x:v>中</x:v>
      </x:c>
      <x:c r="E25" s="157" t="str"/>
      <x:c r="F25" s="157" t="str"/>
      <x:c r="G25" s="157" t="str"/>
      <x:c r="H25" s="157" t="str"/>
      <x:c r="I25" s="157" t="str">
        <x:v>未対応</x:v>
      </x:c>
      <x:c r="J25" s="157" t="str"/>
    </x:row>
    <x:row r="26">
      <x:c r="A26" s="157" t="str"/>
      <x:c r="B26" s="157" t="str"/>
      <x:c r="C26" s="158"/>
      <x:c r="D26" s="157" t="str">
        <x:v>中</x:v>
      </x:c>
      <x:c r="E26" s="157" t="str"/>
      <x:c r="F26" s="157" t="str"/>
      <x:c r="G26" s="157" t="str"/>
      <x:c r="H26" s="157" t="str"/>
      <x:c r="I26" s="157" t="str">
        <x:v>未対応</x:v>
      </x:c>
      <x:c r="J26" s="157" t="str"/>
    </x:row>
    <x:row r="27">
      <x:c r="A27" s="157" t="str"/>
      <x:c r="B27" s="157" t="str"/>
      <x:c r="C27" s="158"/>
      <x:c r="D27" s="157" t="str">
        <x:v>中</x:v>
      </x:c>
      <x:c r="E27" s="157" t="str"/>
      <x:c r="F27" s="157" t="str"/>
      <x:c r="G27" s="157" t="str"/>
      <x:c r="H27" s="157" t="str"/>
      <x:c r="I27" s="157" t="str">
        <x:v>未対応</x:v>
      </x:c>
      <x:c r="J27" s="157" t="str"/>
    </x:row>
    <x:row r="28">
      <x:c r="A28" s="157" t="str"/>
      <x:c r="B28" s="157" t="str"/>
      <x:c r="C28" s="158"/>
      <x:c r="D28" s="157" t="str">
        <x:v>中</x:v>
      </x:c>
      <x:c r="E28" s="157" t="str"/>
      <x:c r="F28" s="157" t="str"/>
      <x:c r="G28" s="157" t="str"/>
      <x:c r="H28" s="157" t="str"/>
      <x:c r="I28" s="157" t="str">
        <x:v>未対応</x:v>
      </x:c>
      <x:c r="J28" s="157" t="str"/>
    </x:row>
    <x:row r="29">
      <x:c r="A29" s="157" t="str"/>
      <x:c r="B29" s="157" t="str"/>
      <x:c r="C29" s="158"/>
      <x:c r="D29" s="157" t="str">
        <x:v>中</x:v>
      </x:c>
      <x:c r="E29" s="157" t="str"/>
      <x:c r="F29" s="157" t="str"/>
      <x:c r="G29" s="157" t="str"/>
      <x:c r="H29" s="157" t="str"/>
      <x:c r="I29" s="157" t="str">
        <x:v>未対応</x:v>
      </x:c>
      <x:c r="J29" s="157" t="str"/>
    </x:row>
    <x:row r="30">
      <x:c r="A30" s="157" t="str"/>
      <x:c r="B30" s="157" t="str"/>
      <x:c r="C30" s="158"/>
      <x:c r="D30" s="157" t="str">
        <x:v>中</x:v>
      </x:c>
      <x:c r="E30" s="157" t="str"/>
      <x:c r="F30" s="157" t="str"/>
      <x:c r="G30" s="157" t="str"/>
      <x:c r="H30" s="157" t="str"/>
      <x:c r="I30" s="157" t="str">
        <x:v>未対応</x:v>
      </x:c>
      <x:c r="J30" s="157" t="str"/>
    </x:row>
    <x:row r="31">
      <x:c r="A31" s="157" t="str"/>
      <x:c r="B31" s="157" t="str"/>
      <x:c r="C31" s="158"/>
      <x:c r="D31" s="157" t="str">
        <x:v>中</x:v>
      </x:c>
      <x:c r="E31" s="157" t="str"/>
      <x:c r="F31" s="157" t="str"/>
      <x:c r="G31" s="157" t="str"/>
      <x:c r="H31" s="157" t="str"/>
      <x:c r="I31" s="157" t="str">
        <x:v>未対応</x:v>
      </x:c>
      <x:c r="J31" s="157" t="str"/>
    </x:row>
    <x:row r="32">
      <x:c r="A32" s="157" t="str"/>
      <x:c r="B32" s="157" t="str"/>
      <x:c r="C32" s="158"/>
      <x:c r="D32" s="157" t="str">
        <x:v>中</x:v>
      </x:c>
      <x:c r="E32" s="157" t="str"/>
      <x:c r="F32" s="157" t="str"/>
      <x:c r="G32" s="157" t="str"/>
      <x:c r="H32" s="157" t="str"/>
      <x:c r="I32" s="157" t="str">
        <x:v>未対応</x:v>
      </x:c>
      <x:c r="J32" s="157" t="str"/>
    </x:row>
    <x:row r="33">
      <x:c r="A33" s="157" t="str"/>
      <x:c r="B33" s="157" t="str"/>
      <x:c r="C33" s="158"/>
      <x:c r="D33" s="157" t="str">
        <x:v>中</x:v>
      </x:c>
      <x:c r="E33" s="157" t="str"/>
      <x:c r="F33" s="157" t="str"/>
      <x:c r="G33" s="157" t="str"/>
      <x:c r="H33" s="157" t="str"/>
      <x:c r="I33" s="157" t="str">
        <x:v>未対応</x:v>
      </x:c>
      <x:c r="J33" s="157" t="str"/>
    </x:row>
    <x:row r="34">
      <x:c r="A34" s="157" t="str"/>
      <x:c r="B34" s="157" t="str"/>
      <x:c r="C34" s="158"/>
      <x:c r="D34" s="157" t="str">
        <x:v>中</x:v>
      </x:c>
      <x:c r="E34" s="157" t="str"/>
      <x:c r="F34" s="157" t="str"/>
      <x:c r="G34" s="157" t="str"/>
      <x:c r="H34" s="157" t="str"/>
      <x:c r="I34" s="157" t="str">
        <x:v>未対応</x:v>
      </x:c>
      <x:c r="J34" s="157" t="str"/>
    </x:row>
    <x:row r="35">
      <x:c r="A35" s="157" t="str"/>
      <x:c r="B35" s="157" t="str"/>
      <x:c r="C35" s="158"/>
      <x:c r="D35" s="157" t="str">
        <x:v>中</x:v>
      </x:c>
      <x:c r="E35" s="157" t="str"/>
      <x:c r="F35" s="157" t="str"/>
      <x:c r="G35" s="157" t="str"/>
      <x:c r="H35" s="157" t="str"/>
      <x:c r="I35" s="157" t="str">
        <x:v>未対応</x:v>
      </x:c>
      <x:c r="J35" s="157" t="str"/>
    </x:row>
  </x:sheetData>
  <x:mergeCells>
    <x:mergeCell ref="A1:J2"/>
    <x:mergeCell ref="A4:J4"/>
  </x:mergeCells>
  <x:conditionalFormatting sqref="I6:I35">
    <x:cfRule type="containsText" dxfId="5" priority="1" operator="containsText" text="再テストOK"/>
  </x:conditionalFormatting>
  <x:conditionalFormatting sqref="D6:D35">
    <x:cfRule type="containsText" dxfId="6" priority="2" operator="containsText" text="高"/>
  </x:conditionalFormatting>
  <x:dataValidations count="2">
    <x:dataValidation type="list" sqref="D6:D35">
      <x:formula1>"高,中,低"</x:formula1>
    </x:dataValidation>
    <x:dataValidation type="list" sqref="I6:I35">
      <x:formula1>"未対応,対応中,修正済み,再テストOK,見送り"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54edef01e9414c"/>
  </x:tableParts>
</x:worksheet>
</file>